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flch-my.sharepoint.com/personal/giulia_grandi_epfl_ch/Documents/Documents/EPFL/Research/C-NET/"/>
    </mc:Choice>
  </mc:AlternateContent>
  <xr:revisionPtr revIDLastSave="492" documentId="8_{717A1D4B-0990-49EE-9CC0-35B7D3549F4E}" xr6:coauthVersionLast="47" xr6:coauthVersionMax="47" xr10:uidLastSave="{D620FD94-FA7C-458A-B15B-565F0C5FDC80}"/>
  <bookViews>
    <workbookView xWindow="28680" yWindow="-4020" windowWidth="29040" windowHeight="15720" activeTab="1" xr2:uid="{045F65FE-8770-4DD1-914F-D5300D5E6E1D}"/>
  </bookViews>
  <sheets>
    <sheet name="with_salt" sheetId="7" r:id="rId1"/>
    <sheet name="with_rhodamine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0" i="7" l="1"/>
  <c r="F38" i="7"/>
  <c r="G38" i="7"/>
  <c r="H26" i="8"/>
  <c r="G329" i="8"/>
  <c r="G469" i="8"/>
  <c r="G483" i="8"/>
  <c r="G484" i="8"/>
  <c r="G805" i="8"/>
  <c r="G806" i="8"/>
  <c r="G807" i="8"/>
  <c r="F28" i="8"/>
  <c r="G28" i="8" s="1"/>
  <c r="E26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F260" i="8"/>
  <c r="G260" i="8" s="1"/>
  <c r="F261" i="8"/>
  <c r="G261" i="8" s="1"/>
  <c r="F262" i="8"/>
  <c r="G262" i="8" s="1"/>
  <c r="F263" i="8"/>
  <c r="G263" i="8" s="1"/>
  <c r="F264" i="8"/>
  <c r="G264" i="8" s="1"/>
  <c r="F265" i="8"/>
  <c r="G265" i="8" s="1"/>
  <c r="F266" i="8"/>
  <c r="G266" i="8" s="1"/>
  <c r="F267" i="8"/>
  <c r="G267" i="8" s="1"/>
  <c r="F268" i="8"/>
  <c r="G268" i="8" s="1"/>
  <c r="F269" i="8"/>
  <c r="G269" i="8" s="1"/>
  <c r="F270" i="8"/>
  <c r="G270" i="8" s="1"/>
  <c r="F271" i="8"/>
  <c r="G271" i="8" s="1"/>
  <c r="F272" i="8"/>
  <c r="G272" i="8" s="1"/>
  <c r="F273" i="8"/>
  <c r="G273" i="8" s="1"/>
  <c r="F274" i="8"/>
  <c r="G274" i="8" s="1"/>
  <c r="F275" i="8"/>
  <c r="G275" i="8" s="1"/>
  <c r="F276" i="8"/>
  <c r="G276" i="8" s="1"/>
  <c r="F277" i="8"/>
  <c r="G277" i="8" s="1"/>
  <c r="F278" i="8"/>
  <c r="G278" i="8" s="1"/>
  <c r="F279" i="8"/>
  <c r="G279" i="8" s="1"/>
  <c r="F280" i="8"/>
  <c r="G280" i="8" s="1"/>
  <c r="F281" i="8"/>
  <c r="G281" i="8" s="1"/>
  <c r="F282" i="8"/>
  <c r="G282" i="8" s="1"/>
  <c r="F283" i="8"/>
  <c r="G283" i="8" s="1"/>
  <c r="F284" i="8"/>
  <c r="G284" i="8" s="1"/>
  <c r="F285" i="8"/>
  <c r="G285" i="8" s="1"/>
  <c r="F286" i="8"/>
  <c r="G286" i="8" s="1"/>
  <c r="F287" i="8"/>
  <c r="G287" i="8" s="1"/>
  <c r="F288" i="8"/>
  <c r="G288" i="8" s="1"/>
  <c r="F289" i="8"/>
  <c r="G289" i="8" s="1"/>
  <c r="F290" i="8"/>
  <c r="G290" i="8" s="1"/>
  <c r="F291" i="8"/>
  <c r="G291" i="8" s="1"/>
  <c r="F292" i="8"/>
  <c r="G292" i="8" s="1"/>
  <c r="F293" i="8"/>
  <c r="G293" i="8" s="1"/>
  <c r="F294" i="8"/>
  <c r="G294" i="8" s="1"/>
  <c r="F295" i="8"/>
  <c r="G295" i="8" s="1"/>
  <c r="F296" i="8"/>
  <c r="G296" i="8" s="1"/>
  <c r="F297" i="8"/>
  <c r="G297" i="8" s="1"/>
  <c r="F298" i="8"/>
  <c r="G298" i="8" s="1"/>
  <c r="F299" i="8"/>
  <c r="G299" i="8" s="1"/>
  <c r="F300" i="8"/>
  <c r="G300" i="8" s="1"/>
  <c r="F301" i="8"/>
  <c r="G301" i="8" s="1"/>
  <c r="F302" i="8"/>
  <c r="G302" i="8" s="1"/>
  <c r="F303" i="8"/>
  <c r="G303" i="8" s="1"/>
  <c r="F304" i="8"/>
  <c r="G304" i="8" s="1"/>
  <c r="F305" i="8"/>
  <c r="G305" i="8" s="1"/>
  <c r="F306" i="8"/>
  <c r="G306" i="8" s="1"/>
  <c r="F307" i="8"/>
  <c r="G307" i="8" s="1"/>
  <c r="F308" i="8"/>
  <c r="G308" i="8" s="1"/>
  <c r="F309" i="8"/>
  <c r="G309" i="8" s="1"/>
  <c r="F310" i="8"/>
  <c r="G310" i="8" s="1"/>
  <c r="F311" i="8"/>
  <c r="G311" i="8" s="1"/>
  <c r="F312" i="8"/>
  <c r="G312" i="8" s="1"/>
  <c r="F313" i="8"/>
  <c r="G313" i="8" s="1"/>
  <c r="F314" i="8"/>
  <c r="G314" i="8" s="1"/>
  <c r="F315" i="8"/>
  <c r="G315" i="8" s="1"/>
  <c r="F316" i="8"/>
  <c r="G316" i="8" s="1"/>
  <c r="F317" i="8"/>
  <c r="G317" i="8" s="1"/>
  <c r="F318" i="8"/>
  <c r="G318" i="8" s="1"/>
  <c r="F319" i="8"/>
  <c r="G319" i="8" s="1"/>
  <c r="F320" i="8"/>
  <c r="G320" i="8" s="1"/>
  <c r="F321" i="8"/>
  <c r="G321" i="8" s="1"/>
  <c r="F322" i="8"/>
  <c r="G322" i="8" s="1"/>
  <c r="F323" i="8"/>
  <c r="G323" i="8" s="1"/>
  <c r="F324" i="8"/>
  <c r="G324" i="8" s="1"/>
  <c r="F325" i="8"/>
  <c r="G325" i="8" s="1"/>
  <c r="F326" i="8"/>
  <c r="G326" i="8" s="1"/>
  <c r="F327" i="8"/>
  <c r="G327" i="8" s="1"/>
  <c r="F328" i="8"/>
  <c r="G328" i="8" s="1"/>
  <c r="F329" i="8"/>
  <c r="F330" i="8"/>
  <c r="G330" i="8" s="1"/>
  <c r="F331" i="8"/>
  <c r="G331" i="8" s="1"/>
  <c r="F332" i="8"/>
  <c r="G332" i="8" s="1"/>
  <c r="F333" i="8"/>
  <c r="G333" i="8" s="1"/>
  <c r="F334" i="8"/>
  <c r="G334" i="8" s="1"/>
  <c r="F335" i="8"/>
  <c r="G335" i="8" s="1"/>
  <c r="F336" i="8"/>
  <c r="G336" i="8" s="1"/>
  <c r="F337" i="8"/>
  <c r="G337" i="8" s="1"/>
  <c r="F338" i="8"/>
  <c r="G338" i="8" s="1"/>
  <c r="F339" i="8"/>
  <c r="G339" i="8" s="1"/>
  <c r="F340" i="8"/>
  <c r="G340" i="8" s="1"/>
  <c r="F341" i="8"/>
  <c r="G341" i="8" s="1"/>
  <c r="F342" i="8"/>
  <c r="G342" i="8" s="1"/>
  <c r="F343" i="8"/>
  <c r="G343" i="8" s="1"/>
  <c r="F344" i="8"/>
  <c r="G344" i="8" s="1"/>
  <c r="F345" i="8"/>
  <c r="G345" i="8" s="1"/>
  <c r="F346" i="8"/>
  <c r="G346" i="8" s="1"/>
  <c r="F347" i="8"/>
  <c r="G347" i="8" s="1"/>
  <c r="F348" i="8"/>
  <c r="G348" i="8" s="1"/>
  <c r="F349" i="8"/>
  <c r="G349" i="8" s="1"/>
  <c r="F350" i="8"/>
  <c r="G350" i="8" s="1"/>
  <c r="F351" i="8"/>
  <c r="G351" i="8" s="1"/>
  <c r="F352" i="8"/>
  <c r="G352" i="8" s="1"/>
  <c r="F353" i="8"/>
  <c r="G353" i="8" s="1"/>
  <c r="F354" i="8"/>
  <c r="G354" i="8" s="1"/>
  <c r="F355" i="8"/>
  <c r="G355" i="8" s="1"/>
  <c r="F356" i="8"/>
  <c r="G356" i="8" s="1"/>
  <c r="F357" i="8"/>
  <c r="G357" i="8" s="1"/>
  <c r="F358" i="8"/>
  <c r="G358" i="8" s="1"/>
  <c r="F359" i="8"/>
  <c r="G359" i="8" s="1"/>
  <c r="F360" i="8"/>
  <c r="G360" i="8" s="1"/>
  <c r="F361" i="8"/>
  <c r="G361" i="8" s="1"/>
  <c r="F362" i="8"/>
  <c r="G362" i="8" s="1"/>
  <c r="F363" i="8"/>
  <c r="G363" i="8" s="1"/>
  <c r="F364" i="8"/>
  <c r="G364" i="8" s="1"/>
  <c r="F365" i="8"/>
  <c r="G365" i="8" s="1"/>
  <c r="F366" i="8"/>
  <c r="G366" i="8" s="1"/>
  <c r="F367" i="8"/>
  <c r="G367" i="8" s="1"/>
  <c r="F368" i="8"/>
  <c r="G368" i="8" s="1"/>
  <c r="F369" i="8"/>
  <c r="G369" i="8" s="1"/>
  <c r="F370" i="8"/>
  <c r="G370" i="8" s="1"/>
  <c r="F371" i="8"/>
  <c r="G371" i="8" s="1"/>
  <c r="F372" i="8"/>
  <c r="G372" i="8" s="1"/>
  <c r="F373" i="8"/>
  <c r="G373" i="8" s="1"/>
  <c r="F374" i="8"/>
  <c r="G374" i="8" s="1"/>
  <c r="F375" i="8"/>
  <c r="G375" i="8" s="1"/>
  <c r="F376" i="8"/>
  <c r="G376" i="8" s="1"/>
  <c r="F377" i="8"/>
  <c r="G377" i="8" s="1"/>
  <c r="F378" i="8"/>
  <c r="G378" i="8" s="1"/>
  <c r="F379" i="8"/>
  <c r="G379" i="8" s="1"/>
  <c r="F380" i="8"/>
  <c r="G380" i="8" s="1"/>
  <c r="F381" i="8"/>
  <c r="G381" i="8" s="1"/>
  <c r="F382" i="8"/>
  <c r="G382" i="8" s="1"/>
  <c r="F383" i="8"/>
  <c r="G383" i="8" s="1"/>
  <c r="F384" i="8"/>
  <c r="G384" i="8" s="1"/>
  <c r="F385" i="8"/>
  <c r="G385" i="8" s="1"/>
  <c r="F386" i="8"/>
  <c r="G386" i="8" s="1"/>
  <c r="F387" i="8"/>
  <c r="G387" i="8" s="1"/>
  <c r="F388" i="8"/>
  <c r="G388" i="8" s="1"/>
  <c r="F389" i="8"/>
  <c r="G389" i="8" s="1"/>
  <c r="F390" i="8"/>
  <c r="G390" i="8" s="1"/>
  <c r="F391" i="8"/>
  <c r="G391" i="8" s="1"/>
  <c r="F392" i="8"/>
  <c r="G392" i="8" s="1"/>
  <c r="F393" i="8"/>
  <c r="G393" i="8" s="1"/>
  <c r="F394" i="8"/>
  <c r="G394" i="8" s="1"/>
  <c r="F395" i="8"/>
  <c r="G395" i="8" s="1"/>
  <c r="F396" i="8"/>
  <c r="G396" i="8" s="1"/>
  <c r="F397" i="8"/>
  <c r="G397" i="8" s="1"/>
  <c r="F398" i="8"/>
  <c r="G398" i="8" s="1"/>
  <c r="F399" i="8"/>
  <c r="G399" i="8" s="1"/>
  <c r="F400" i="8"/>
  <c r="G400" i="8" s="1"/>
  <c r="F401" i="8"/>
  <c r="G401" i="8" s="1"/>
  <c r="F402" i="8"/>
  <c r="G402" i="8" s="1"/>
  <c r="F403" i="8"/>
  <c r="G403" i="8" s="1"/>
  <c r="F404" i="8"/>
  <c r="G404" i="8" s="1"/>
  <c r="F405" i="8"/>
  <c r="G405" i="8" s="1"/>
  <c r="F406" i="8"/>
  <c r="G406" i="8" s="1"/>
  <c r="F407" i="8"/>
  <c r="G407" i="8" s="1"/>
  <c r="F408" i="8"/>
  <c r="G408" i="8" s="1"/>
  <c r="F409" i="8"/>
  <c r="G409" i="8" s="1"/>
  <c r="F410" i="8"/>
  <c r="G410" i="8" s="1"/>
  <c r="F411" i="8"/>
  <c r="G411" i="8" s="1"/>
  <c r="F412" i="8"/>
  <c r="G412" i="8" s="1"/>
  <c r="F413" i="8"/>
  <c r="G413" i="8" s="1"/>
  <c r="F414" i="8"/>
  <c r="G414" i="8" s="1"/>
  <c r="F415" i="8"/>
  <c r="G415" i="8" s="1"/>
  <c r="F416" i="8"/>
  <c r="G416" i="8" s="1"/>
  <c r="F417" i="8"/>
  <c r="G417" i="8" s="1"/>
  <c r="F418" i="8"/>
  <c r="G418" i="8" s="1"/>
  <c r="F419" i="8"/>
  <c r="G419" i="8" s="1"/>
  <c r="F420" i="8"/>
  <c r="G420" i="8" s="1"/>
  <c r="F421" i="8"/>
  <c r="G421" i="8" s="1"/>
  <c r="F422" i="8"/>
  <c r="G422" i="8" s="1"/>
  <c r="F423" i="8"/>
  <c r="G423" i="8" s="1"/>
  <c r="F424" i="8"/>
  <c r="G424" i="8" s="1"/>
  <c r="F425" i="8"/>
  <c r="G425" i="8" s="1"/>
  <c r="F426" i="8"/>
  <c r="G426" i="8" s="1"/>
  <c r="F427" i="8"/>
  <c r="G427" i="8" s="1"/>
  <c r="F428" i="8"/>
  <c r="G428" i="8" s="1"/>
  <c r="F429" i="8"/>
  <c r="G429" i="8" s="1"/>
  <c r="F430" i="8"/>
  <c r="G430" i="8" s="1"/>
  <c r="F431" i="8"/>
  <c r="G431" i="8" s="1"/>
  <c r="F432" i="8"/>
  <c r="G432" i="8" s="1"/>
  <c r="F433" i="8"/>
  <c r="G433" i="8" s="1"/>
  <c r="F434" i="8"/>
  <c r="G434" i="8" s="1"/>
  <c r="F435" i="8"/>
  <c r="G435" i="8" s="1"/>
  <c r="F436" i="8"/>
  <c r="G436" i="8" s="1"/>
  <c r="F437" i="8"/>
  <c r="G437" i="8" s="1"/>
  <c r="F438" i="8"/>
  <c r="G438" i="8" s="1"/>
  <c r="F439" i="8"/>
  <c r="G439" i="8" s="1"/>
  <c r="F440" i="8"/>
  <c r="G440" i="8" s="1"/>
  <c r="F441" i="8"/>
  <c r="G441" i="8" s="1"/>
  <c r="F442" i="8"/>
  <c r="G442" i="8" s="1"/>
  <c r="F443" i="8"/>
  <c r="G443" i="8" s="1"/>
  <c r="F444" i="8"/>
  <c r="G444" i="8" s="1"/>
  <c r="F445" i="8"/>
  <c r="G445" i="8" s="1"/>
  <c r="F446" i="8"/>
  <c r="G446" i="8" s="1"/>
  <c r="F447" i="8"/>
  <c r="G447" i="8" s="1"/>
  <c r="F448" i="8"/>
  <c r="G448" i="8" s="1"/>
  <c r="F449" i="8"/>
  <c r="G449" i="8" s="1"/>
  <c r="F450" i="8"/>
  <c r="G450" i="8" s="1"/>
  <c r="F451" i="8"/>
  <c r="G451" i="8" s="1"/>
  <c r="F452" i="8"/>
  <c r="G452" i="8" s="1"/>
  <c r="F453" i="8"/>
  <c r="G453" i="8" s="1"/>
  <c r="F454" i="8"/>
  <c r="G454" i="8" s="1"/>
  <c r="F455" i="8"/>
  <c r="G455" i="8" s="1"/>
  <c r="F456" i="8"/>
  <c r="G456" i="8" s="1"/>
  <c r="F457" i="8"/>
  <c r="G457" i="8" s="1"/>
  <c r="F458" i="8"/>
  <c r="G458" i="8" s="1"/>
  <c r="F459" i="8"/>
  <c r="G459" i="8" s="1"/>
  <c r="F460" i="8"/>
  <c r="G460" i="8" s="1"/>
  <c r="F461" i="8"/>
  <c r="G461" i="8" s="1"/>
  <c r="F462" i="8"/>
  <c r="G462" i="8" s="1"/>
  <c r="F463" i="8"/>
  <c r="G463" i="8" s="1"/>
  <c r="F464" i="8"/>
  <c r="G464" i="8" s="1"/>
  <c r="F465" i="8"/>
  <c r="G465" i="8" s="1"/>
  <c r="F466" i="8"/>
  <c r="G466" i="8" s="1"/>
  <c r="F467" i="8"/>
  <c r="G467" i="8" s="1"/>
  <c r="F468" i="8"/>
  <c r="G468" i="8" s="1"/>
  <c r="F469" i="8"/>
  <c r="F470" i="8"/>
  <c r="G470" i="8" s="1"/>
  <c r="F471" i="8"/>
  <c r="G471" i="8" s="1"/>
  <c r="F472" i="8"/>
  <c r="G472" i="8" s="1"/>
  <c r="F473" i="8"/>
  <c r="G473" i="8" s="1"/>
  <c r="F474" i="8"/>
  <c r="G474" i="8" s="1"/>
  <c r="F475" i="8"/>
  <c r="G475" i="8" s="1"/>
  <c r="F476" i="8"/>
  <c r="G476" i="8" s="1"/>
  <c r="F477" i="8"/>
  <c r="G477" i="8" s="1"/>
  <c r="F478" i="8"/>
  <c r="G478" i="8" s="1"/>
  <c r="F479" i="8"/>
  <c r="G479" i="8" s="1"/>
  <c r="F480" i="8"/>
  <c r="G480" i="8" s="1"/>
  <c r="F481" i="8"/>
  <c r="G481" i="8" s="1"/>
  <c r="F482" i="8"/>
  <c r="G482" i="8" s="1"/>
  <c r="F483" i="8"/>
  <c r="F484" i="8"/>
  <c r="F485" i="8"/>
  <c r="G485" i="8" s="1"/>
  <c r="F486" i="8"/>
  <c r="G486" i="8" s="1"/>
  <c r="F487" i="8"/>
  <c r="G487" i="8" s="1"/>
  <c r="F488" i="8"/>
  <c r="G488" i="8" s="1"/>
  <c r="F489" i="8"/>
  <c r="G489" i="8" s="1"/>
  <c r="F490" i="8"/>
  <c r="G490" i="8" s="1"/>
  <c r="F491" i="8"/>
  <c r="G491" i="8" s="1"/>
  <c r="F492" i="8"/>
  <c r="G492" i="8" s="1"/>
  <c r="F493" i="8"/>
  <c r="G493" i="8" s="1"/>
  <c r="F494" i="8"/>
  <c r="G494" i="8" s="1"/>
  <c r="F495" i="8"/>
  <c r="G495" i="8" s="1"/>
  <c r="F496" i="8"/>
  <c r="G496" i="8" s="1"/>
  <c r="F497" i="8"/>
  <c r="G497" i="8" s="1"/>
  <c r="F498" i="8"/>
  <c r="G498" i="8" s="1"/>
  <c r="F499" i="8"/>
  <c r="G499" i="8" s="1"/>
  <c r="F500" i="8"/>
  <c r="G500" i="8" s="1"/>
  <c r="F501" i="8"/>
  <c r="G501" i="8" s="1"/>
  <c r="F502" i="8"/>
  <c r="G502" i="8" s="1"/>
  <c r="F503" i="8"/>
  <c r="G503" i="8" s="1"/>
  <c r="F504" i="8"/>
  <c r="G504" i="8" s="1"/>
  <c r="F505" i="8"/>
  <c r="G505" i="8" s="1"/>
  <c r="F506" i="8"/>
  <c r="G506" i="8" s="1"/>
  <c r="F507" i="8"/>
  <c r="G507" i="8" s="1"/>
  <c r="F508" i="8"/>
  <c r="G508" i="8" s="1"/>
  <c r="F509" i="8"/>
  <c r="G509" i="8" s="1"/>
  <c r="F510" i="8"/>
  <c r="G510" i="8" s="1"/>
  <c r="F511" i="8"/>
  <c r="G511" i="8" s="1"/>
  <c r="F512" i="8"/>
  <c r="G512" i="8" s="1"/>
  <c r="F513" i="8"/>
  <c r="G513" i="8" s="1"/>
  <c r="F514" i="8"/>
  <c r="G514" i="8" s="1"/>
  <c r="F515" i="8"/>
  <c r="G515" i="8" s="1"/>
  <c r="F516" i="8"/>
  <c r="G516" i="8" s="1"/>
  <c r="F517" i="8"/>
  <c r="G517" i="8" s="1"/>
  <c r="F518" i="8"/>
  <c r="G518" i="8" s="1"/>
  <c r="F519" i="8"/>
  <c r="G519" i="8" s="1"/>
  <c r="F520" i="8"/>
  <c r="G520" i="8" s="1"/>
  <c r="F521" i="8"/>
  <c r="G521" i="8" s="1"/>
  <c r="F522" i="8"/>
  <c r="G522" i="8" s="1"/>
  <c r="F523" i="8"/>
  <c r="G523" i="8" s="1"/>
  <c r="F524" i="8"/>
  <c r="G524" i="8" s="1"/>
  <c r="F525" i="8"/>
  <c r="G525" i="8" s="1"/>
  <c r="F526" i="8"/>
  <c r="G526" i="8" s="1"/>
  <c r="F527" i="8"/>
  <c r="G527" i="8" s="1"/>
  <c r="F528" i="8"/>
  <c r="G528" i="8" s="1"/>
  <c r="F529" i="8"/>
  <c r="G529" i="8" s="1"/>
  <c r="F530" i="8"/>
  <c r="G530" i="8" s="1"/>
  <c r="F531" i="8"/>
  <c r="G531" i="8" s="1"/>
  <c r="F532" i="8"/>
  <c r="G532" i="8" s="1"/>
  <c r="F533" i="8"/>
  <c r="G533" i="8" s="1"/>
  <c r="F534" i="8"/>
  <c r="G534" i="8" s="1"/>
  <c r="F535" i="8"/>
  <c r="G535" i="8" s="1"/>
  <c r="F536" i="8"/>
  <c r="G536" i="8" s="1"/>
  <c r="F537" i="8"/>
  <c r="G537" i="8" s="1"/>
  <c r="F538" i="8"/>
  <c r="G538" i="8" s="1"/>
  <c r="F539" i="8"/>
  <c r="G539" i="8" s="1"/>
  <c r="F540" i="8"/>
  <c r="G540" i="8" s="1"/>
  <c r="F541" i="8"/>
  <c r="G541" i="8" s="1"/>
  <c r="F542" i="8"/>
  <c r="G542" i="8" s="1"/>
  <c r="F543" i="8"/>
  <c r="G543" i="8" s="1"/>
  <c r="F544" i="8"/>
  <c r="G544" i="8" s="1"/>
  <c r="F545" i="8"/>
  <c r="G545" i="8" s="1"/>
  <c r="F546" i="8"/>
  <c r="G546" i="8" s="1"/>
  <c r="F547" i="8"/>
  <c r="G547" i="8" s="1"/>
  <c r="F548" i="8"/>
  <c r="G548" i="8" s="1"/>
  <c r="F549" i="8"/>
  <c r="G549" i="8" s="1"/>
  <c r="F550" i="8"/>
  <c r="G550" i="8" s="1"/>
  <c r="F551" i="8"/>
  <c r="G551" i="8" s="1"/>
  <c r="F552" i="8"/>
  <c r="G552" i="8" s="1"/>
  <c r="F553" i="8"/>
  <c r="G553" i="8" s="1"/>
  <c r="F554" i="8"/>
  <c r="G554" i="8" s="1"/>
  <c r="F555" i="8"/>
  <c r="G555" i="8" s="1"/>
  <c r="F556" i="8"/>
  <c r="G556" i="8" s="1"/>
  <c r="F557" i="8"/>
  <c r="G557" i="8" s="1"/>
  <c r="F558" i="8"/>
  <c r="G558" i="8" s="1"/>
  <c r="F559" i="8"/>
  <c r="G559" i="8" s="1"/>
  <c r="F560" i="8"/>
  <c r="G560" i="8" s="1"/>
  <c r="F561" i="8"/>
  <c r="G561" i="8" s="1"/>
  <c r="F562" i="8"/>
  <c r="G562" i="8" s="1"/>
  <c r="F563" i="8"/>
  <c r="G563" i="8" s="1"/>
  <c r="F564" i="8"/>
  <c r="G564" i="8" s="1"/>
  <c r="F565" i="8"/>
  <c r="G565" i="8" s="1"/>
  <c r="F566" i="8"/>
  <c r="G566" i="8" s="1"/>
  <c r="F567" i="8"/>
  <c r="G567" i="8" s="1"/>
  <c r="F568" i="8"/>
  <c r="G568" i="8" s="1"/>
  <c r="F569" i="8"/>
  <c r="G569" i="8" s="1"/>
  <c r="F570" i="8"/>
  <c r="G570" i="8" s="1"/>
  <c r="F571" i="8"/>
  <c r="G571" i="8" s="1"/>
  <c r="F572" i="8"/>
  <c r="G572" i="8" s="1"/>
  <c r="F573" i="8"/>
  <c r="G573" i="8" s="1"/>
  <c r="F574" i="8"/>
  <c r="G574" i="8" s="1"/>
  <c r="F575" i="8"/>
  <c r="G575" i="8" s="1"/>
  <c r="F576" i="8"/>
  <c r="G576" i="8" s="1"/>
  <c r="F577" i="8"/>
  <c r="G577" i="8" s="1"/>
  <c r="F578" i="8"/>
  <c r="G578" i="8" s="1"/>
  <c r="F579" i="8"/>
  <c r="G579" i="8" s="1"/>
  <c r="F580" i="8"/>
  <c r="G580" i="8" s="1"/>
  <c r="F581" i="8"/>
  <c r="G581" i="8" s="1"/>
  <c r="F582" i="8"/>
  <c r="G582" i="8" s="1"/>
  <c r="F583" i="8"/>
  <c r="G583" i="8" s="1"/>
  <c r="F584" i="8"/>
  <c r="G584" i="8" s="1"/>
  <c r="F585" i="8"/>
  <c r="G585" i="8" s="1"/>
  <c r="F586" i="8"/>
  <c r="G586" i="8" s="1"/>
  <c r="F587" i="8"/>
  <c r="G587" i="8" s="1"/>
  <c r="F588" i="8"/>
  <c r="G588" i="8" s="1"/>
  <c r="F589" i="8"/>
  <c r="G589" i="8" s="1"/>
  <c r="F590" i="8"/>
  <c r="G590" i="8" s="1"/>
  <c r="F591" i="8"/>
  <c r="G591" i="8" s="1"/>
  <c r="F592" i="8"/>
  <c r="G592" i="8" s="1"/>
  <c r="F593" i="8"/>
  <c r="G593" i="8" s="1"/>
  <c r="F594" i="8"/>
  <c r="G594" i="8" s="1"/>
  <c r="F595" i="8"/>
  <c r="G595" i="8" s="1"/>
  <c r="F596" i="8"/>
  <c r="G596" i="8" s="1"/>
  <c r="F597" i="8"/>
  <c r="G597" i="8" s="1"/>
  <c r="F598" i="8"/>
  <c r="G598" i="8" s="1"/>
  <c r="F599" i="8"/>
  <c r="G599" i="8" s="1"/>
  <c r="F600" i="8"/>
  <c r="G600" i="8" s="1"/>
  <c r="F601" i="8"/>
  <c r="G601" i="8" s="1"/>
  <c r="F602" i="8"/>
  <c r="G602" i="8" s="1"/>
  <c r="F603" i="8"/>
  <c r="G603" i="8" s="1"/>
  <c r="F604" i="8"/>
  <c r="G604" i="8" s="1"/>
  <c r="F605" i="8"/>
  <c r="G605" i="8" s="1"/>
  <c r="F606" i="8"/>
  <c r="G606" i="8" s="1"/>
  <c r="F607" i="8"/>
  <c r="G607" i="8" s="1"/>
  <c r="F608" i="8"/>
  <c r="G608" i="8" s="1"/>
  <c r="F609" i="8"/>
  <c r="G609" i="8" s="1"/>
  <c r="F610" i="8"/>
  <c r="G610" i="8" s="1"/>
  <c r="F611" i="8"/>
  <c r="G611" i="8" s="1"/>
  <c r="F612" i="8"/>
  <c r="G612" i="8" s="1"/>
  <c r="F613" i="8"/>
  <c r="G613" i="8" s="1"/>
  <c r="F614" i="8"/>
  <c r="G614" i="8" s="1"/>
  <c r="F615" i="8"/>
  <c r="G615" i="8" s="1"/>
  <c r="F616" i="8"/>
  <c r="G616" i="8" s="1"/>
  <c r="F617" i="8"/>
  <c r="G617" i="8" s="1"/>
  <c r="F618" i="8"/>
  <c r="G618" i="8" s="1"/>
  <c r="F619" i="8"/>
  <c r="G619" i="8" s="1"/>
  <c r="F620" i="8"/>
  <c r="G620" i="8" s="1"/>
  <c r="F621" i="8"/>
  <c r="G621" i="8" s="1"/>
  <c r="F622" i="8"/>
  <c r="G622" i="8" s="1"/>
  <c r="F623" i="8"/>
  <c r="G623" i="8" s="1"/>
  <c r="F624" i="8"/>
  <c r="G624" i="8" s="1"/>
  <c r="F625" i="8"/>
  <c r="G625" i="8" s="1"/>
  <c r="F626" i="8"/>
  <c r="G626" i="8" s="1"/>
  <c r="F627" i="8"/>
  <c r="G627" i="8" s="1"/>
  <c r="F628" i="8"/>
  <c r="G628" i="8" s="1"/>
  <c r="F629" i="8"/>
  <c r="G629" i="8" s="1"/>
  <c r="F630" i="8"/>
  <c r="G630" i="8" s="1"/>
  <c r="F631" i="8"/>
  <c r="G631" i="8" s="1"/>
  <c r="F632" i="8"/>
  <c r="G632" i="8" s="1"/>
  <c r="F633" i="8"/>
  <c r="G633" i="8" s="1"/>
  <c r="F634" i="8"/>
  <c r="G634" i="8" s="1"/>
  <c r="F635" i="8"/>
  <c r="G635" i="8" s="1"/>
  <c r="F636" i="8"/>
  <c r="G636" i="8" s="1"/>
  <c r="F637" i="8"/>
  <c r="G637" i="8" s="1"/>
  <c r="F638" i="8"/>
  <c r="G638" i="8" s="1"/>
  <c r="F639" i="8"/>
  <c r="G639" i="8" s="1"/>
  <c r="F640" i="8"/>
  <c r="G640" i="8" s="1"/>
  <c r="F641" i="8"/>
  <c r="G641" i="8" s="1"/>
  <c r="F642" i="8"/>
  <c r="G642" i="8" s="1"/>
  <c r="F643" i="8"/>
  <c r="G643" i="8" s="1"/>
  <c r="F644" i="8"/>
  <c r="G644" i="8" s="1"/>
  <c r="F645" i="8"/>
  <c r="G645" i="8" s="1"/>
  <c r="F646" i="8"/>
  <c r="G646" i="8" s="1"/>
  <c r="F647" i="8"/>
  <c r="G647" i="8" s="1"/>
  <c r="F648" i="8"/>
  <c r="G648" i="8" s="1"/>
  <c r="F649" i="8"/>
  <c r="G649" i="8" s="1"/>
  <c r="F650" i="8"/>
  <c r="G650" i="8" s="1"/>
  <c r="F651" i="8"/>
  <c r="G651" i="8" s="1"/>
  <c r="F652" i="8"/>
  <c r="G652" i="8" s="1"/>
  <c r="F653" i="8"/>
  <c r="G653" i="8" s="1"/>
  <c r="F654" i="8"/>
  <c r="G654" i="8" s="1"/>
  <c r="F655" i="8"/>
  <c r="G655" i="8" s="1"/>
  <c r="F656" i="8"/>
  <c r="G656" i="8" s="1"/>
  <c r="F657" i="8"/>
  <c r="G657" i="8" s="1"/>
  <c r="F658" i="8"/>
  <c r="G658" i="8" s="1"/>
  <c r="F659" i="8"/>
  <c r="G659" i="8" s="1"/>
  <c r="F660" i="8"/>
  <c r="G660" i="8" s="1"/>
  <c r="F661" i="8"/>
  <c r="G661" i="8" s="1"/>
  <c r="F662" i="8"/>
  <c r="G662" i="8" s="1"/>
  <c r="F663" i="8"/>
  <c r="G663" i="8" s="1"/>
  <c r="F664" i="8"/>
  <c r="G664" i="8" s="1"/>
  <c r="F665" i="8"/>
  <c r="G665" i="8" s="1"/>
  <c r="F666" i="8"/>
  <c r="G666" i="8" s="1"/>
  <c r="F667" i="8"/>
  <c r="G667" i="8" s="1"/>
  <c r="F668" i="8"/>
  <c r="G668" i="8" s="1"/>
  <c r="F669" i="8"/>
  <c r="G669" i="8" s="1"/>
  <c r="F670" i="8"/>
  <c r="G670" i="8" s="1"/>
  <c r="F671" i="8"/>
  <c r="G671" i="8" s="1"/>
  <c r="F672" i="8"/>
  <c r="G672" i="8" s="1"/>
  <c r="F673" i="8"/>
  <c r="G673" i="8" s="1"/>
  <c r="F674" i="8"/>
  <c r="G674" i="8" s="1"/>
  <c r="F675" i="8"/>
  <c r="G675" i="8" s="1"/>
  <c r="F676" i="8"/>
  <c r="G676" i="8" s="1"/>
  <c r="F677" i="8"/>
  <c r="G677" i="8" s="1"/>
  <c r="F678" i="8"/>
  <c r="G678" i="8" s="1"/>
  <c r="F679" i="8"/>
  <c r="G679" i="8" s="1"/>
  <c r="F680" i="8"/>
  <c r="G680" i="8" s="1"/>
  <c r="F681" i="8"/>
  <c r="G681" i="8" s="1"/>
  <c r="F682" i="8"/>
  <c r="G682" i="8" s="1"/>
  <c r="F683" i="8"/>
  <c r="G683" i="8" s="1"/>
  <c r="F684" i="8"/>
  <c r="G684" i="8" s="1"/>
  <c r="F685" i="8"/>
  <c r="G685" i="8" s="1"/>
  <c r="F686" i="8"/>
  <c r="G686" i="8" s="1"/>
  <c r="F687" i="8"/>
  <c r="G687" i="8" s="1"/>
  <c r="F688" i="8"/>
  <c r="G688" i="8" s="1"/>
  <c r="F689" i="8"/>
  <c r="G689" i="8" s="1"/>
  <c r="F690" i="8"/>
  <c r="G690" i="8" s="1"/>
  <c r="F691" i="8"/>
  <c r="G691" i="8" s="1"/>
  <c r="F692" i="8"/>
  <c r="G692" i="8" s="1"/>
  <c r="F693" i="8"/>
  <c r="G693" i="8" s="1"/>
  <c r="F694" i="8"/>
  <c r="G694" i="8" s="1"/>
  <c r="F695" i="8"/>
  <c r="G695" i="8" s="1"/>
  <c r="F696" i="8"/>
  <c r="G696" i="8" s="1"/>
  <c r="F697" i="8"/>
  <c r="G697" i="8" s="1"/>
  <c r="F698" i="8"/>
  <c r="G698" i="8" s="1"/>
  <c r="F699" i="8"/>
  <c r="G699" i="8" s="1"/>
  <c r="F700" i="8"/>
  <c r="G700" i="8" s="1"/>
  <c r="F701" i="8"/>
  <c r="G701" i="8" s="1"/>
  <c r="F702" i="8"/>
  <c r="G702" i="8" s="1"/>
  <c r="F703" i="8"/>
  <c r="G703" i="8" s="1"/>
  <c r="F704" i="8"/>
  <c r="G704" i="8" s="1"/>
  <c r="F705" i="8"/>
  <c r="G705" i="8" s="1"/>
  <c r="F706" i="8"/>
  <c r="G706" i="8" s="1"/>
  <c r="F707" i="8"/>
  <c r="G707" i="8" s="1"/>
  <c r="F708" i="8"/>
  <c r="G708" i="8" s="1"/>
  <c r="F709" i="8"/>
  <c r="G709" i="8" s="1"/>
  <c r="F710" i="8"/>
  <c r="G710" i="8" s="1"/>
  <c r="F711" i="8"/>
  <c r="G711" i="8" s="1"/>
  <c r="F712" i="8"/>
  <c r="G712" i="8" s="1"/>
  <c r="F713" i="8"/>
  <c r="G713" i="8" s="1"/>
  <c r="F714" i="8"/>
  <c r="G714" i="8" s="1"/>
  <c r="F715" i="8"/>
  <c r="G715" i="8" s="1"/>
  <c r="F716" i="8"/>
  <c r="G716" i="8" s="1"/>
  <c r="F717" i="8"/>
  <c r="G717" i="8" s="1"/>
  <c r="F718" i="8"/>
  <c r="G718" i="8" s="1"/>
  <c r="F719" i="8"/>
  <c r="G719" i="8" s="1"/>
  <c r="F720" i="8"/>
  <c r="G720" i="8" s="1"/>
  <c r="F721" i="8"/>
  <c r="G721" i="8" s="1"/>
  <c r="F722" i="8"/>
  <c r="G722" i="8" s="1"/>
  <c r="F723" i="8"/>
  <c r="G723" i="8" s="1"/>
  <c r="F724" i="8"/>
  <c r="G724" i="8" s="1"/>
  <c r="F725" i="8"/>
  <c r="G725" i="8" s="1"/>
  <c r="F726" i="8"/>
  <c r="G726" i="8" s="1"/>
  <c r="F727" i="8"/>
  <c r="G727" i="8" s="1"/>
  <c r="F728" i="8"/>
  <c r="G728" i="8" s="1"/>
  <c r="F729" i="8"/>
  <c r="G729" i="8" s="1"/>
  <c r="F730" i="8"/>
  <c r="G730" i="8" s="1"/>
  <c r="F731" i="8"/>
  <c r="G731" i="8" s="1"/>
  <c r="F732" i="8"/>
  <c r="G732" i="8" s="1"/>
  <c r="F733" i="8"/>
  <c r="G733" i="8" s="1"/>
  <c r="F734" i="8"/>
  <c r="G734" i="8" s="1"/>
  <c r="F735" i="8"/>
  <c r="G735" i="8" s="1"/>
  <c r="F736" i="8"/>
  <c r="G736" i="8" s="1"/>
  <c r="F737" i="8"/>
  <c r="G737" i="8" s="1"/>
  <c r="F738" i="8"/>
  <c r="G738" i="8" s="1"/>
  <c r="F739" i="8"/>
  <c r="G739" i="8" s="1"/>
  <c r="F740" i="8"/>
  <c r="G740" i="8" s="1"/>
  <c r="F741" i="8"/>
  <c r="G741" i="8" s="1"/>
  <c r="F742" i="8"/>
  <c r="G742" i="8" s="1"/>
  <c r="F743" i="8"/>
  <c r="G743" i="8" s="1"/>
  <c r="F744" i="8"/>
  <c r="G744" i="8" s="1"/>
  <c r="F745" i="8"/>
  <c r="G745" i="8" s="1"/>
  <c r="F746" i="8"/>
  <c r="G746" i="8" s="1"/>
  <c r="F747" i="8"/>
  <c r="G747" i="8" s="1"/>
  <c r="F748" i="8"/>
  <c r="G748" i="8" s="1"/>
  <c r="F749" i="8"/>
  <c r="G749" i="8" s="1"/>
  <c r="F750" i="8"/>
  <c r="G750" i="8" s="1"/>
  <c r="F751" i="8"/>
  <c r="G751" i="8" s="1"/>
  <c r="F752" i="8"/>
  <c r="G752" i="8" s="1"/>
  <c r="F753" i="8"/>
  <c r="G753" i="8" s="1"/>
  <c r="F754" i="8"/>
  <c r="G754" i="8" s="1"/>
  <c r="F755" i="8"/>
  <c r="G755" i="8" s="1"/>
  <c r="F756" i="8"/>
  <c r="G756" i="8" s="1"/>
  <c r="F757" i="8"/>
  <c r="G757" i="8" s="1"/>
  <c r="F758" i="8"/>
  <c r="G758" i="8" s="1"/>
  <c r="F759" i="8"/>
  <c r="G759" i="8" s="1"/>
  <c r="F760" i="8"/>
  <c r="G760" i="8" s="1"/>
  <c r="F761" i="8"/>
  <c r="G761" i="8" s="1"/>
  <c r="F762" i="8"/>
  <c r="G762" i="8" s="1"/>
  <c r="F763" i="8"/>
  <c r="G763" i="8" s="1"/>
  <c r="F764" i="8"/>
  <c r="G764" i="8" s="1"/>
  <c r="F765" i="8"/>
  <c r="G765" i="8" s="1"/>
  <c r="F766" i="8"/>
  <c r="G766" i="8" s="1"/>
  <c r="F767" i="8"/>
  <c r="G767" i="8" s="1"/>
  <c r="F768" i="8"/>
  <c r="G768" i="8" s="1"/>
  <c r="F769" i="8"/>
  <c r="G769" i="8" s="1"/>
  <c r="F770" i="8"/>
  <c r="G770" i="8" s="1"/>
  <c r="F771" i="8"/>
  <c r="G771" i="8" s="1"/>
  <c r="F772" i="8"/>
  <c r="G772" i="8" s="1"/>
  <c r="F773" i="8"/>
  <c r="G773" i="8" s="1"/>
  <c r="F774" i="8"/>
  <c r="G774" i="8" s="1"/>
  <c r="F775" i="8"/>
  <c r="G775" i="8" s="1"/>
  <c r="F776" i="8"/>
  <c r="G776" i="8" s="1"/>
  <c r="F777" i="8"/>
  <c r="G777" i="8" s="1"/>
  <c r="F778" i="8"/>
  <c r="G778" i="8" s="1"/>
  <c r="F779" i="8"/>
  <c r="G779" i="8" s="1"/>
  <c r="F780" i="8"/>
  <c r="G780" i="8" s="1"/>
  <c r="F781" i="8"/>
  <c r="G781" i="8" s="1"/>
  <c r="F782" i="8"/>
  <c r="G782" i="8" s="1"/>
  <c r="F783" i="8"/>
  <c r="G783" i="8" s="1"/>
  <c r="F784" i="8"/>
  <c r="G784" i="8" s="1"/>
  <c r="F785" i="8"/>
  <c r="G785" i="8" s="1"/>
  <c r="F786" i="8"/>
  <c r="G786" i="8" s="1"/>
  <c r="F787" i="8"/>
  <c r="G787" i="8" s="1"/>
  <c r="F788" i="8"/>
  <c r="G788" i="8" s="1"/>
  <c r="F789" i="8"/>
  <c r="G789" i="8" s="1"/>
  <c r="F790" i="8"/>
  <c r="G790" i="8" s="1"/>
  <c r="F791" i="8"/>
  <c r="G791" i="8" s="1"/>
  <c r="F792" i="8"/>
  <c r="G792" i="8" s="1"/>
  <c r="F793" i="8"/>
  <c r="G793" i="8" s="1"/>
  <c r="F794" i="8"/>
  <c r="G794" i="8" s="1"/>
  <c r="F795" i="8"/>
  <c r="G795" i="8" s="1"/>
  <c r="F796" i="8"/>
  <c r="G796" i="8" s="1"/>
  <c r="F797" i="8"/>
  <c r="G797" i="8" s="1"/>
  <c r="F798" i="8"/>
  <c r="G798" i="8" s="1"/>
  <c r="F799" i="8"/>
  <c r="G799" i="8" s="1"/>
  <c r="F800" i="8"/>
  <c r="G800" i="8" s="1"/>
  <c r="F801" i="8"/>
  <c r="G801" i="8" s="1"/>
  <c r="F802" i="8"/>
  <c r="G802" i="8" s="1"/>
  <c r="F803" i="8"/>
  <c r="G803" i="8" s="1"/>
  <c r="F804" i="8"/>
  <c r="G804" i="8" s="1"/>
  <c r="F805" i="8"/>
  <c r="F806" i="8"/>
  <c r="F807" i="8"/>
  <c r="F808" i="8"/>
  <c r="G808" i="8" s="1"/>
  <c r="F809" i="8"/>
  <c r="G809" i="8" s="1"/>
  <c r="F810" i="8"/>
  <c r="G810" i="8" s="1"/>
  <c r="F811" i="8"/>
  <c r="G811" i="8" s="1"/>
  <c r="F812" i="8"/>
  <c r="G812" i="8" s="1"/>
  <c r="F813" i="8"/>
  <c r="G813" i="8" s="1"/>
  <c r="F814" i="8"/>
  <c r="G814" i="8" s="1"/>
  <c r="F815" i="8"/>
  <c r="G815" i="8" s="1"/>
  <c r="F816" i="8"/>
  <c r="G816" i="8" s="1"/>
  <c r="F817" i="8"/>
  <c r="G817" i="8" s="1"/>
  <c r="F818" i="8"/>
  <c r="G818" i="8" s="1"/>
  <c r="F819" i="8"/>
  <c r="G819" i="8" s="1"/>
  <c r="F820" i="8"/>
  <c r="G820" i="8" s="1"/>
  <c r="F821" i="8"/>
  <c r="G821" i="8" s="1"/>
  <c r="F822" i="8"/>
  <c r="G822" i="8" s="1"/>
  <c r="F823" i="8"/>
  <c r="G823" i="8" s="1"/>
  <c r="F824" i="8"/>
  <c r="G824" i="8" s="1"/>
  <c r="F825" i="8"/>
  <c r="G825" i="8" s="1"/>
  <c r="F826" i="8"/>
  <c r="G826" i="8" s="1"/>
  <c r="E23" i="8"/>
  <c r="C27" i="7"/>
  <c r="C28" i="7" s="1"/>
  <c r="C17" i="7"/>
  <c r="D17" i="7"/>
  <c r="C18" i="7"/>
  <c r="D18" i="7"/>
  <c r="E38" i="7" l="1"/>
  <c r="D19" i="7"/>
  <c r="C19" i="7"/>
  <c r="E17" i="7" l="1"/>
  <c r="E18" i="7"/>
  <c r="E19" i="7" l="1"/>
  <c r="C23" i="7" l="1"/>
  <c r="C24" i="7" s="1"/>
</calcChain>
</file>

<file path=xl/sharedStrings.xml><?xml version="1.0" encoding="utf-8"?>
<sst xmlns="http://schemas.openxmlformats.org/spreadsheetml/2006/main" count="69" uniqueCount="53">
  <si>
    <t>Q</t>
  </si>
  <si>
    <t>[s]</t>
  </si>
  <si>
    <t>[L/s]</t>
  </si>
  <si>
    <t>[uS/cm]</t>
  </si>
  <si>
    <t>[g]</t>
  </si>
  <si>
    <t>dt</t>
  </si>
  <si>
    <t>CALI-0</t>
  </si>
  <si>
    <t>CALI-1</t>
  </si>
  <si>
    <t>CALI-2</t>
  </si>
  <si>
    <t>spCOND</t>
  </si>
  <si>
    <t>spCOND [uS/cm]</t>
  </si>
  <si>
    <t>Conc [g/L]</t>
  </si>
  <si>
    <t>Conc = a + b * spCOND</t>
  </si>
  <si>
    <t>b</t>
  </si>
  <si>
    <t>a</t>
  </si>
  <si>
    <t>MISURA</t>
  </si>
  <si>
    <t>Ms</t>
  </si>
  <si>
    <t>(g/L) / (mS/cm)</t>
  </si>
  <si>
    <t>DATE</t>
  </si>
  <si>
    <t>DatE</t>
  </si>
  <si>
    <t>Tare weight [g]</t>
  </si>
  <si>
    <t>Tare + Salt [g]</t>
  </si>
  <si>
    <t>Tare + Salt + Water [g]</t>
  </si>
  <si>
    <t>Salt [g]</t>
  </si>
  <si>
    <t>Water Volue [L]</t>
  </si>
  <si>
    <t># Measurement</t>
  </si>
  <si>
    <t># Bucket</t>
  </si>
  <si>
    <t>Point Description</t>
  </si>
  <si>
    <t>Background Conductivity</t>
  </si>
  <si>
    <t>Time-step for logging</t>
  </si>
  <si>
    <t>Discharge</t>
  </si>
  <si>
    <t xml:space="preserve">Conductivity Timeseries </t>
  </si>
  <si>
    <t>(past in each column the conductivity data from logger)</t>
  </si>
  <si>
    <t>LAB CALIBRATION</t>
  </si>
  <si>
    <t>Background Fluorescence</t>
  </si>
  <si>
    <t>DISCHARGE CALCULATION</t>
  </si>
  <si>
    <t xml:space="preserve">Mass Salt </t>
  </si>
  <si>
    <t>added</t>
  </si>
  <si>
    <t>CORRECTIONS</t>
  </si>
  <si>
    <t>Rhodamine concentration in the solution injected [%]</t>
  </si>
  <si>
    <t>Temperature Correction Factor</t>
  </si>
  <si>
    <t>Initial Water Temperature [°C]</t>
  </si>
  <si>
    <t>[ppb]</t>
  </si>
  <si>
    <t>Fluor</t>
  </si>
  <si>
    <t>C_obs</t>
  </si>
  <si>
    <t>Mass of Solution Injected</t>
  </si>
  <si>
    <t>Effective Mass of Rhodamine Added</t>
  </si>
  <si>
    <t>C_adj</t>
  </si>
  <si>
    <t>C_corr_temp</t>
  </si>
  <si>
    <t>ESTIM. COEFFICIENTS FROM LAB CALIBRATION</t>
  </si>
  <si>
    <t>COEFFICIENTS FROM PREVIOUS CALIBRATION</t>
  </si>
  <si>
    <t>FP1 brunch</t>
  </si>
  <si>
    <t>P2 - FP1 brunch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</si>
</sst>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0.0000"/>
    <numFmt numFmtId="167" formatCode="#0.0"/>
    <numFmt numFmtId="168" formatCode="mm/dd/yyyy\ hh:mm:ss"/>
    <numFmt numFmtId="169" formatCode="#0.000"/>
    <numFmt numFmtId="170" formatCode="#0.00"/>
    <numFmt numFmtId="171" formatCode="#0.00000"/>
    <numFmt numFmtId="172" formatCode="0.000000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</font>
    <font>
      <sz val="8"/>
      <color rgb="FF1D1C1D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7" fontId="4" fillId="0" borderId="0"/>
    <xf numFmtId="0" fontId="4" fillId="0" borderId="0"/>
    <xf numFmtId="168" fontId="4" fillId="0" borderId="0"/>
    <xf numFmtId="169" fontId="4" fillId="0" borderId="0"/>
    <xf numFmtId="170" fontId="4" fillId="0" borderId="0"/>
    <xf numFmtId="169" fontId="4" fillId="0" borderId="0"/>
    <xf numFmtId="167" fontId="4" fillId="0" borderId="0"/>
    <xf numFmtId="171" fontId="4" fillId="0" borderId="0"/>
    <xf numFmtId="168" fontId="4" fillId="0" borderId="0"/>
    <xf numFmtId="168" fontId="4" fillId="0" borderId="0"/>
  </cellStyleXfs>
  <cellXfs count="148">
    <xf numFmtId="0" fontId="0" fillId="0" borderId="0" xfId="0"/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3" xfId="0" applyFill="1" applyBorder="1"/>
    <xf numFmtId="0" fontId="0" fillId="3" borderId="4" xfId="0" applyFill="1" applyBorder="1"/>
    <xf numFmtId="0" fontId="0" fillId="3" borderId="6" xfId="0" applyFill="1" applyBorder="1"/>
    <xf numFmtId="0" fontId="1" fillId="3" borderId="4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/>
    <xf numFmtId="0" fontId="0" fillId="0" borderId="15" xfId="0" applyBorder="1"/>
    <xf numFmtId="0" fontId="0" fillId="0" borderId="10" xfId="0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0" fillId="0" borderId="6" xfId="0" applyBorder="1"/>
    <xf numFmtId="0" fontId="1" fillId="0" borderId="9" xfId="0" applyFont="1" applyBorder="1"/>
    <xf numFmtId="0" fontId="1" fillId="2" borderId="9" xfId="0" applyFont="1" applyFill="1" applyBorder="1"/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/>
    <xf numFmtId="1" fontId="0" fillId="4" borderId="0" xfId="0" applyNumberFormat="1" applyFill="1" applyAlignment="1">
      <alignment horizontal="center" vertical="center"/>
    </xf>
    <xf numFmtId="165" fontId="0" fillId="4" borderId="1" xfId="0" applyNumberFormat="1" applyFill="1" applyBorder="1"/>
    <xf numFmtId="165" fontId="0" fillId="4" borderId="2" xfId="0" applyNumberFormat="1" applyFill="1" applyBorder="1"/>
    <xf numFmtId="165" fontId="0" fillId="4" borderId="3" xfId="0" applyNumberFormat="1" applyFill="1" applyBorder="1"/>
    <xf numFmtId="165" fontId="0" fillId="4" borderId="6" xfId="0" applyNumberFormat="1" applyFill="1" applyBorder="1"/>
    <xf numFmtId="165" fontId="0" fillId="4" borderId="7" xfId="0" applyNumberFormat="1" applyFill="1" applyBorder="1"/>
    <xf numFmtId="165" fontId="0" fillId="4" borderId="8" xfId="0" applyNumberFormat="1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165" fontId="0" fillId="4" borderId="4" xfId="0" applyNumberFormat="1" applyFill="1" applyBorder="1"/>
    <xf numFmtId="165" fontId="0" fillId="4" borderId="0" xfId="0" applyNumberFormat="1" applyFill="1"/>
    <xf numFmtId="165" fontId="0" fillId="4" borderId="5" xfId="0" applyNumberFormat="1" applyFill="1" applyBorder="1"/>
    <xf numFmtId="0" fontId="0" fillId="4" borderId="0" xfId="0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5" xfId="0" applyBorder="1"/>
    <xf numFmtId="1" fontId="0" fillId="4" borderId="2" xfId="0" applyNumberFormat="1" applyFill="1" applyBorder="1" applyAlignment="1">
      <alignment horizontal="center"/>
    </xf>
    <xf numFmtId="0" fontId="1" fillId="3" borderId="12" xfId="0" applyFont="1" applyFill="1" applyBorder="1"/>
    <xf numFmtId="0" fontId="0" fillId="0" borderId="0" xfId="0" applyAlignment="1">
      <alignment vertical="center" wrapText="1"/>
    </xf>
    <xf numFmtId="0" fontId="0" fillId="0" borderId="4" xfId="0" applyBorder="1"/>
    <xf numFmtId="0" fontId="1" fillId="3" borderId="13" xfId="0" applyFont="1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15" xfId="0" applyFill="1" applyBorder="1"/>
    <xf numFmtId="0" fontId="0" fillId="3" borderId="9" xfId="0" applyFill="1" applyBorder="1"/>
    <xf numFmtId="0" fontId="2" fillId="0" borderId="0" xfId="0" applyFont="1"/>
    <xf numFmtId="14" fontId="3" fillId="0" borderId="0" xfId="0" applyNumberFormat="1" applyFont="1"/>
    <xf numFmtId="166" fontId="0" fillId="0" borderId="0" xfId="0" applyNumberFormat="1"/>
    <xf numFmtId="167" fontId="4" fillId="0" borderId="0" xfId="1"/>
    <xf numFmtId="0" fontId="0" fillId="2" borderId="15" xfId="0" applyFill="1" applyBorder="1"/>
    <xf numFmtId="0" fontId="0" fillId="4" borderId="13" xfId="0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1" fontId="0" fillId="4" borderId="13" xfId="0" applyNumberForma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5" fillId="0" borderId="0" xfId="0" applyFont="1"/>
    <xf numFmtId="0" fontId="1" fillId="0" borderId="15" xfId="0" applyFont="1" applyBorder="1"/>
    <xf numFmtId="0" fontId="1" fillId="3" borderId="14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165" fontId="0" fillId="0" borderId="0" xfId="0" applyNumberFormat="1"/>
    <xf numFmtId="165" fontId="0" fillId="3" borderId="15" xfId="0" applyNumberFormat="1" applyFill="1" applyBorder="1"/>
    <xf numFmtId="0" fontId="0" fillId="3" borderId="12" xfId="0" applyFill="1" applyBorder="1"/>
    <xf numFmtId="164" fontId="0" fillId="3" borderId="15" xfId="0" applyNumberFormat="1" applyFill="1" applyBorder="1"/>
    <xf numFmtId="172" fontId="0" fillId="0" borderId="0" xfId="0" applyNumberFormat="1"/>
    <xf numFmtId="170" fontId="4" fillId="0" borderId="0" xfId="1" applyNumberFormat="1"/>
    <xf numFmtId="0" fontId="1" fillId="2" borderId="4" xfId="0" applyFont="1" applyFill="1" applyBorder="1"/>
    <xf numFmtId="0" fontId="1" fillId="2" borderId="1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167" fontId="6" fillId="3" borderId="15" xfId="1" applyFont="1" applyFill="1" applyBorder="1" applyAlignment="1">
      <alignment horizontal="center"/>
    </xf>
    <xf numFmtId="0" fontId="1" fillId="6" borderId="15" xfId="0" applyFont="1" applyFill="1" applyBorder="1" applyAlignment="1">
      <alignment wrapText="1"/>
    </xf>
    <xf numFmtId="166" fontId="0" fillId="3" borderId="15" xfId="0" applyNumberFormat="1" applyFill="1" applyBorder="1"/>
    <xf numFmtId="2" fontId="2" fillId="7" borderId="14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/>
    <xf numFmtId="165" fontId="0" fillId="3" borderId="2" xfId="0" applyNumberFormat="1" applyFill="1" applyBorder="1"/>
    <xf numFmtId="165" fontId="0" fillId="3" borderId="3" xfId="0" applyNumberFormat="1" applyFill="1" applyBorder="1"/>
    <xf numFmtId="2" fontId="0" fillId="3" borderId="4" xfId="0" applyNumberFormat="1" applyFill="1" applyBorder="1"/>
    <xf numFmtId="2" fontId="0" fillId="3" borderId="0" xfId="0" applyNumberFormat="1" applyFill="1"/>
    <xf numFmtId="2" fontId="0" fillId="3" borderId="5" xfId="0" applyNumberFormat="1" applyFill="1" applyBorder="1"/>
    <xf numFmtId="2" fontId="0" fillId="3" borderId="6" xfId="0" applyNumberFormat="1" applyFill="1" applyBorder="1"/>
    <xf numFmtId="2" fontId="0" fillId="3" borderId="7" xfId="0" applyNumberFormat="1" applyFill="1" applyBorder="1"/>
    <xf numFmtId="2" fontId="0" fillId="3" borderId="8" xfId="0" applyNumberFormat="1" applyFill="1" applyBorder="1"/>
    <xf numFmtId="0" fontId="0" fillId="4" borderId="0" xfId="0" applyFill="1"/>
    <xf numFmtId="0" fontId="1" fillId="4" borderId="15" xfId="0" applyFont="1" applyFill="1" applyBorder="1" applyAlignment="1">
      <alignment horizontal="center"/>
    </xf>
    <xf numFmtId="0" fontId="0" fillId="4" borderId="12" xfId="0" applyFill="1" applyBorder="1"/>
    <xf numFmtId="2" fontId="0" fillId="4" borderId="15" xfId="0" applyNumberFormat="1" applyFill="1" applyBorder="1"/>
    <xf numFmtId="165" fontId="0" fillId="4" borderId="15" xfId="0" applyNumberFormat="1" applyFill="1" applyBorder="1"/>
    <xf numFmtId="164" fontId="0" fillId="0" borderId="0" xfId="0" applyNumberFormat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4" fontId="3" fillId="4" borderId="0" xfId="0" applyNumberFormat="1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4" fontId="1" fillId="5" borderId="10" xfId="0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1" fontId="0" fillId="0" borderId="15" xfId="0" applyNumberFormat="1" applyBorder="1" applyAlignment="1">
      <alignment horizontal="center" vertical="center"/>
    </xf>
    <xf numFmtId="2" fontId="2" fillId="7" borderId="9" xfId="0" applyNumberFormat="1" applyFont="1" applyFill="1" applyBorder="1" applyAlignment="1">
      <alignment horizontal="center" vertical="center"/>
    </xf>
    <xf numFmtId="2" fontId="2" fillId="7" borderId="10" xfId="0" applyNumberFormat="1" applyFont="1" applyFill="1" applyBorder="1" applyAlignment="1">
      <alignment horizontal="center" vertical="center"/>
    </xf>
    <xf numFmtId="2" fontId="2" fillId="7" borderId="11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 vertical="center"/>
    </xf>
    <xf numFmtId="1" fontId="0" fillId="4" borderId="9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/>
    </xf>
  </cellXfs>
  <cellStyles count="11">
    <cellStyle name="C" xfId="4" xr:uid="{3E6E8CC7-C048-4664-8504-7B0D87E3E0CE}"/>
    <cellStyle name="D" xfId="5" xr:uid="{73C93CCA-6F70-418F-B3F8-68B6441CE7D9}"/>
    <cellStyle name="DateTimeStyle" xfId="3" xr:uid="{F310DA0F-BBE0-4664-9761-AF7EB78FCBD2}"/>
    <cellStyle name="DateTimeStyle1" xfId="9" xr:uid="{5221FCF9-DE03-4540-A325-FC6DAF8DA277}"/>
    <cellStyle name="DateTimeStyle2" xfId="10" xr:uid="{BD20DDAF-6071-40A4-8BDE-5EF45FBC4329}"/>
    <cellStyle name="E" xfId="6" xr:uid="{A3D64229-A729-42E1-8F49-B668F9A50320}"/>
    <cellStyle name="F" xfId="7" xr:uid="{AB802FA3-8355-4179-A872-4489F7F9991E}"/>
    <cellStyle name="G" xfId="1" xr:uid="{D238C733-73FB-4041-BDB1-AD189BBF2C41}"/>
    <cellStyle name="H" xfId="8" xr:uid="{4A8FE4AA-94B5-4463-B6A0-5C9E589C2A7F}"/>
    <cellStyle name="Normal" xfId="0" builtinId="0"/>
    <cellStyle name="Normal 2" xfId="2" xr:uid="{3516BB2D-9075-413F-A98D-F7252109C0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19228455818023"/>
                  <c:y val="-3.62671332750072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with_salt!$C$20:$E$20</c:f>
              <c:numCache>
                <c:formatCode>General</c:formatCode>
                <c:ptCount val="3"/>
              </c:numCache>
            </c:numRef>
          </c:xVal>
          <c:yVal>
            <c:numRef>
              <c:f>with_salt!$C$19:$E$19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8-42E7-AF22-F5410B4FB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696368"/>
        <c:axId val="1857697808"/>
      </c:scatterChart>
      <c:valAx>
        <c:axId val="185769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spCOND [uS/cm]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7697808"/>
        <c:crosses val="autoZero"/>
        <c:crossBetween val="midCat"/>
      </c:valAx>
      <c:valAx>
        <c:axId val="18576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Conc [g/]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769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with_salt!$P$39:$P$80</c:f>
              <c:numCache>
                <c:formatCode>#0.0</c:formatCode>
                <c:ptCount val="4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15-4E41-8D76-83AB7F99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468032"/>
        <c:axId val="1295460352"/>
      </c:scatterChart>
      <c:valAx>
        <c:axId val="129546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60352"/>
        <c:crosses val="autoZero"/>
        <c:crossBetween val="midCat"/>
      </c:valAx>
      <c:valAx>
        <c:axId val="12954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6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FP1 conductivity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with_salt!$E$39:$E$85</c:f>
              <c:numCache>
                <c:formatCode>General</c:formatCode>
                <c:ptCount val="47"/>
                <c:pt idx="0">
                  <c:v>359</c:v>
                </c:pt>
                <c:pt idx="1">
                  <c:v>359</c:v>
                </c:pt>
                <c:pt idx="2">
                  <c:v>359</c:v>
                </c:pt>
                <c:pt idx="3">
                  <c:v>359</c:v>
                </c:pt>
                <c:pt idx="4">
                  <c:v>359</c:v>
                </c:pt>
                <c:pt idx="5">
                  <c:v>359</c:v>
                </c:pt>
                <c:pt idx="6">
                  <c:v>359</c:v>
                </c:pt>
                <c:pt idx="7">
                  <c:v>359</c:v>
                </c:pt>
                <c:pt idx="8">
                  <c:v>359</c:v>
                </c:pt>
                <c:pt idx="9">
                  <c:v>359</c:v>
                </c:pt>
                <c:pt idx="10">
                  <c:v>359</c:v>
                </c:pt>
                <c:pt idx="11">
                  <c:v>359</c:v>
                </c:pt>
                <c:pt idx="12">
                  <c:v>359</c:v>
                </c:pt>
                <c:pt idx="13">
                  <c:v>359</c:v>
                </c:pt>
                <c:pt idx="14">
                  <c:v>359</c:v>
                </c:pt>
                <c:pt idx="15">
                  <c:v>359</c:v>
                </c:pt>
                <c:pt idx="16">
                  <c:v>359</c:v>
                </c:pt>
                <c:pt idx="17">
                  <c:v>359</c:v>
                </c:pt>
                <c:pt idx="18">
                  <c:v>359.4</c:v>
                </c:pt>
                <c:pt idx="19">
                  <c:v>359.6</c:v>
                </c:pt>
                <c:pt idx="20">
                  <c:v>359.3</c:v>
                </c:pt>
                <c:pt idx="21">
                  <c:v>359.2</c:v>
                </c:pt>
                <c:pt idx="22">
                  <c:v>361.6</c:v>
                </c:pt>
                <c:pt idx="23">
                  <c:v>375.2</c:v>
                </c:pt>
                <c:pt idx="24">
                  <c:v>419.2</c:v>
                </c:pt>
                <c:pt idx="25">
                  <c:v>487.4</c:v>
                </c:pt>
                <c:pt idx="26">
                  <c:v>530</c:v>
                </c:pt>
                <c:pt idx="27">
                  <c:v>559.4</c:v>
                </c:pt>
                <c:pt idx="28">
                  <c:v>557.4</c:v>
                </c:pt>
                <c:pt idx="29">
                  <c:v>542.4</c:v>
                </c:pt>
                <c:pt idx="30">
                  <c:v>483.6</c:v>
                </c:pt>
                <c:pt idx="31">
                  <c:v>454.55</c:v>
                </c:pt>
                <c:pt idx="32">
                  <c:v>425.5</c:v>
                </c:pt>
                <c:pt idx="33">
                  <c:v>419.1</c:v>
                </c:pt>
                <c:pt idx="34">
                  <c:v>408.5</c:v>
                </c:pt>
                <c:pt idx="35">
                  <c:v>394.3</c:v>
                </c:pt>
                <c:pt idx="36">
                  <c:v>381</c:v>
                </c:pt>
                <c:pt idx="37">
                  <c:v>369.2</c:v>
                </c:pt>
                <c:pt idx="38">
                  <c:v>366.6</c:v>
                </c:pt>
                <c:pt idx="39">
                  <c:v>358.6</c:v>
                </c:pt>
                <c:pt idx="40">
                  <c:v>360</c:v>
                </c:pt>
                <c:pt idx="41">
                  <c:v>362.1</c:v>
                </c:pt>
                <c:pt idx="42">
                  <c:v>361</c:v>
                </c:pt>
                <c:pt idx="43">
                  <c:v>361</c:v>
                </c:pt>
                <c:pt idx="44">
                  <c:v>360.2</c:v>
                </c:pt>
                <c:pt idx="45">
                  <c:v>348</c:v>
                </c:pt>
                <c:pt idx="46">
                  <c:v>357.9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B-4B99-A0E1-3599E0AA2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009376"/>
        <c:axId val="1262011776"/>
      </c:lineChart>
      <c:catAx>
        <c:axId val="1262009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011776"/>
        <c:crosses val="autoZero"/>
        <c:auto val="1"/>
        <c:lblAlgn val="ctr"/>
        <c:lblOffset val="100"/>
        <c:noMultiLvlLbl val="0"/>
      </c:catAx>
      <c:valAx>
        <c:axId val="12620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00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FP1 fluorescence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FP1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with_rhodamine!$G$28:$G$826</c:f>
              <c:numCache>
                <c:formatCode>#0.00</c:formatCode>
                <c:ptCount val="7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4.4992474481887187E-2</c:v>
                </c:pt>
                <c:pt idx="158">
                  <c:v>0.48206222659164844</c:v>
                </c:pt>
                <c:pt idx="159">
                  <c:v>0.75844456983752684</c:v>
                </c:pt>
                <c:pt idx="160">
                  <c:v>0.70059710264652908</c:v>
                </c:pt>
                <c:pt idx="161">
                  <c:v>0.80986454067396929</c:v>
                </c:pt>
                <c:pt idx="162">
                  <c:v>1.0026894313106287</c:v>
                </c:pt>
                <c:pt idx="163">
                  <c:v>2.3717461548309102</c:v>
                </c:pt>
                <c:pt idx="164">
                  <c:v>4.0364677106607365</c:v>
                </c:pt>
                <c:pt idx="165">
                  <c:v>5.9004416534817761</c:v>
                </c:pt>
                <c:pt idx="166">
                  <c:v>7.6487206619208212</c:v>
                </c:pt>
                <c:pt idx="167">
                  <c:v>11.286683598599128</c:v>
                </c:pt>
                <c:pt idx="168">
                  <c:v>12.327938008037089</c:v>
                </c:pt>
                <c:pt idx="169">
                  <c:v>13.613437278948151</c:v>
                </c:pt>
                <c:pt idx="170">
                  <c:v>18.999679224065503</c:v>
                </c:pt>
                <c:pt idx="171">
                  <c:v>26.551987440667997</c:v>
                </c:pt>
                <c:pt idx="172">
                  <c:v>25.452885564039036</c:v>
                </c:pt>
                <c:pt idx="173">
                  <c:v>22.721199613353029</c:v>
                </c:pt>
                <c:pt idx="174">
                  <c:v>27.618951835524175</c:v>
                </c:pt>
                <c:pt idx="175">
                  <c:v>34.862740227108013</c:v>
                </c:pt>
                <c:pt idx="176">
                  <c:v>30.761997552901722</c:v>
                </c:pt>
                <c:pt idx="177">
                  <c:v>46.162278818416247</c:v>
                </c:pt>
                <c:pt idx="178">
                  <c:v>34.046448190079488</c:v>
                </c:pt>
                <c:pt idx="179">
                  <c:v>48.26407012635584</c:v>
                </c:pt>
                <c:pt idx="180">
                  <c:v>55.951355766403992</c:v>
                </c:pt>
                <c:pt idx="181">
                  <c:v>54.800833918938594</c:v>
                </c:pt>
                <c:pt idx="182">
                  <c:v>56.253448095068087</c:v>
                </c:pt>
                <c:pt idx="183">
                  <c:v>68.099323876513537</c:v>
                </c:pt>
                <c:pt idx="184">
                  <c:v>68.478546161432305</c:v>
                </c:pt>
                <c:pt idx="185">
                  <c:v>72.990648602330126</c:v>
                </c:pt>
                <c:pt idx="186">
                  <c:v>63.966443720534464</c:v>
                </c:pt>
                <c:pt idx="187">
                  <c:v>55.514286014294235</c:v>
                </c:pt>
                <c:pt idx="188">
                  <c:v>66.261059919110721</c:v>
                </c:pt>
                <c:pt idx="189">
                  <c:v>75.291692297260923</c:v>
                </c:pt>
                <c:pt idx="190">
                  <c:v>74.276147873241186</c:v>
                </c:pt>
                <c:pt idx="191">
                  <c:v>70.528917498535449</c:v>
                </c:pt>
                <c:pt idx="192">
                  <c:v>69.982580308398241</c:v>
                </c:pt>
                <c:pt idx="193">
                  <c:v>83.634582565473721</c:v>
                </c:pt>
                <c:pt idx="194">
                  <c:v>84.810814398357337</c:v>
                </c:pt>
                <c:pt idx="195">
                  <c:v>80.510819337159845</c:v>
                </c:pt>
                <c:pt idx="196">
                  <c:v>86.861185735460481</c:v>
                </c:pt>
                <c:pt idx="197">
                  <c:v>90.280613796083912</c:v>
                </c:pt>
                <c:pt idx="198">
                  <c:v>85.659243917158648</c:v>
                </c:pt>
                <c:pt idx="199">
                  <c:v>85.492129011940207</c:v>
                </c:pt>
                <c:pt idx="200">
                  <c:v>85.627106435385869</c:v>
                </c:pt>
                <c:pt idx="201">
                  <c:v>89.130091948618499</c:v>
                </c:pt>
                <c:pt idx="202">
                  <c:v>89.104381963200282</c:v>
                </c:pt>
                <c:pt idx="203">
                  <c:v>87.407522925597689</c:v>
                </c:pt>
                <c:pt idx="204">
                  <c:v>88.339509897008213</c:v>
                </c:pt>
                <c:pt idx="205">
                  <c:v>86.861185735460481</c:v>
                </c:pt>
                <c:pt idx="206">
                  <c:v>86.668360844823837</c:v>
                </c:pt>
                <c:pt idx="207">
                  <c:v>84.560142040529684</c:v>
                </c:pt>
                <c:pt idx="208">
                  <c:v>83.139665346172961</c:v>
                </c:pt>
                <c:pt idx="209">
                  <c:v>82.702595594063197</c:v>
                </c:pt>
                <c:pt idx="210">
                  <c:v>80.812911665823947</c:v>
                </c:pt>
                <c:pt idx="211">
                  <c:v>83.962384879556041</c:v>
                </c:pt>
                <c:pt idx="212">
                  <c:v>82.458350732590091</c:v>
                </c:pt>
                <c:pt idx="213">
                  <c:v>79.996619628795415</c:v>
                </c:pt>
                <c:pt idx="214">
                  <c:v>77.42562108697328</c:v>
                </c:pt>
                <c:pt idx="215">
                  <c:v>75.150287377460714</c:v>
                </c:pt>
                <c:pt idx="216">
                  <c:v>68.067186394740759</c:v>
                </c:pt>
                <c:pt idx="217">
                  <c:v>75.073157421206048</c:v>
                </c:pt>
                <c:pt idx="218">
                  <c:v>68.343568737986629</c:v>
                </c:pt>
                <c:pt idx="219">
                  <c:v>68.697081037487166</c:v>
                </c:pt>
                <c:pt idx="220">
                  <c:v>62.488119558986746</c:v>
                </c:pt>
                <c:pt idx="221">
                  <c:v>67.84865151868587</c:v>
                </c:pt>
                <c:pt idx="222">
                  <c:v>64.242826063780342</c:v>
                </c:pt>
                <c:pt idx="223">
                  <c:v>61.395445178712336</c:v>
                </c:pt>
                <c:pt idx="224">
                  <c:v>60.354190769274382</c:v>
                </c:pt>
                <c:pt idx="225">
                  <c:v>56.555540423732189</c:v>
                </c:pt>
                <c:pt idx="226">
                  <c:v>62.160317244904419</c:v>
                </c:pt>
                <c:pt idx="227">
                  <c:v>61.260467755266681</c:v>
                </c:pt>
                <c:pt idx="228">
                  <c:v>53.271089786554427</c:v>
                </c:pt>
                <c:pt idx="229">
                  <c:v>47.801290388827859</c:v>
                </c:pt>
                <c:pt idx="230">
                  <c:v>45.995163913197814</c:v>
                </c:pt>
                <c:pt idx="231">
                  <c:v>46.020873898616031</c:v>
                </c:pt>
                <c:pt idx="232">
                  <c:v>54.884391371547814</c:v>
                </c:pt>
                <c:pt idx="233">
                  <c:v>47.557045527354752</c:v>
                </c:pt>
                <c:pt idx="234">
                  <c:v>49.472439441012234</c:v>
                </c:pt>
                <c:pt idx="235">
                  <c:v>39.811912420115604</c:v>
                </c:pt>
                <c:pt idx="236">
                  <c:v>41.431641501463538</c:v>
                </c:pt>
                <c:pt idx="237">
                  <c:v>40.660341938916901</c:v>
                </c:pt>
                <c:pt idx="238">
                  <c:v>39.541957573224281</c:v>
                </c:pt>
                <c:pt idx="239">
                  <c:v>44.189037437567769</c:v>
                </c:pt>
                <c:pt idx="240">
                  <c:v>36.643156717319833</c:v>
                </c:pt>
                <c:pt idx="241">
                  <c:v>38.609970601813757</c:v>
                </c:pt>
                <c:pt idx="242">
                  <c:v>27.393989463114739</c:v>
                </c:pt>
                <c:pt idx="243">
                  <c:v>30.594882647683285</c:v>
                </c:pt>
                <c:pt idx="244">
                  <c:v>27.509684397496734</c:v>
                </c:pt>
                <c:pt idx="245">
                  <c:v>28.711626215798582</c:v>
                </c:pt>
                <c:pt idx="246">
                  <c:v>29.77859061065476</c:v>
                </c:pt>
                <c:pt idx="247">
                  <c:v>23.94885141707309</c:v>
                </c:pt>
                <c:pt idx="248">
                  <c:v>24.797280935874394</c:v>
                </c:pt>
                <c:pt idx="249">
                  <c:v>24.855128403065393</c:v>
                </c:pt>
                <c:pt idx="250">
                  <c:v>23.023291942017128</c:v>
                </c:pt>
                <c:pt idx="251">
                  <c:v>27.040477163614199</c:v>
                </c:pt>
                <c:pt idx="252">
                  <c:v>27.618951835524175</c:v>
                </c:pt>
                <c:pt idx="253">
                  <c:v>23.376804241517668</c:v>
                </c:pt>
                <c:pt idx="254">
                  <c:v>20.747958232504548</c:v>
                </c:pt>
                <c:pt idx="255">
                  <c:v>21.679945203915064</c:v>
                </c:pt>
                <c:pt idx="256">
                  <c:v>19.353191523566043</c:v>
                </c:pt>
                <c:pt idx="257">
                  <c:v>18.016272281818541</c:v>
                </c:pt>
                <c:pt idx="258">
                  <c:v>17.521355062517781</c:v>
                </c:pt>
                <c:pt idx="259">
                  <c:v>15.336006301968974</c:v>
                </c:pt>
                <c:pt idx="260">
                  <c:v>17.14213277759902</c:v>
                </c:pt>
                <c:pt idx="261">
                  <c:v>13.857682140421252</c:v>
                </c:pt>
                <c:pt idx="262">
                  <c:v>14.101927001894355</c:v>
                </c:pt>
                <c:pt idx="263">
                  <c:v>14.706111659222554</c:v>
                </c:pt>
                <c:pt idx="264">
                  <c:v>14.461866797749453</c:v>
                </c:pt>
                <c:pt idx="265">
                  <c:v>12.739297774728628</c:v>
                </c:pt>
                <c:pt idx="266">
                  <c:v>11.672333379872446</c:v>
                </c:pt>
                <c:pt idx="267">
                  <c:v>11.672333379872446</c:v>
                </c:pt>
                <c:pt idx="268">
                  <c:v>12.739297774728628</c:v>
                </c:pt>
                <c:pt idx="269">
                  <c:v>11.042438737126027</c:v>
                </c:pt>
                <c:pt idx="270">
                  <c:v>11.723753350708888</c:v>
                </c:pt>
                <c:pt idx="271">
                  <c:v>10.984591269935029</c:v>
                </c:pt>
                <c:pt idx="272">
                  <c:v>10.823903861071145</c:v>
                </c:pt>
                <c:pt idx="273">
                  <c:v>11.177416160571688</c:v>
                </c:pt>
                <c:pt idx="274">
                  <c:v>10.682498941270929</c:v>
                </c:pt>
                <c:pt idx="275">
                  <c:v>11.370241051208348</c:v>
                </c:pt>
                <c:pt idx="276">
                  <c:v>8.7735325239680009</c:v>
                </c:pt>
                <c:pt idx="277">
                  <c:v>10.87532383190759</c:v>
                </c:pt>
                <c:pt idx="278">
                  <c:v>10.136161751133727</c:v>
                </c:pt>
                <c:pt idx="279">
                  <c:v>9.0177773854411019</c:v>
                </c:pt>
                <c:pt idx="280">
                  <c:v>8.7735325239680009</c:v>
                </c:pt>
                <c:pt idx="281">
                  <c:v>9.3198697141052023</c:v>
                </c:pt>
                <c:pt idx="282">
                  <c:v>8.7156850567770032</c:v>
                </c:pt>
                <c:pt idx="283">
                  <c:v>7.8672555379757023</c:v>
                </c:pt>
                <c:pt idx="284">
                  <c:v>7.4558957712841618</c:v>
                </c:pt>
                <c:pt idx="285">
                  <c:v>7.9251030051667</c:v>
                </c:pt>
                <c:pt idx="286">
                  <c:v>6.9095585811469604</c:v>
                </c:pt>
                <c:pt idx="287">
                  <c:v>6.8260011285377411</c:v>
                </c:pt>
                <c:pt idx="288">
                  <c:v>6.6910237050920802</c:v>
                </c:pt>
                <c:pt idx="289">
                  <c:v>6.3375114055915374</c:v>
                </c:pt>
                <c:pt idx="290">
                  <c:v>5.791174215454336</c:v>
                </c:pt>
                <c:pt idx="291">
                  <c:v>4.3964075065158337</c:v>
                </c:pt>
                <c:pt idx="292">
                  <c:v>4.5570949153797162</c:v>
                </c:pt>
                <c:pt idx="293">
                  <c:v>4.8334772586255941</c:v>
                </c:pt>
                <c:pt idx="294">
                  <c:v>4.6984998351799332</c:v>
                </c:pt>
                <c:pt idx="295">
                  <c:v>4.8334772586255941</c:v>
                </c:pt>
                <c:pt idx="296">
                  <c:v>4.4221174919340545</c:v>
                </c:pt>
                <c:pt idx="297">
                  <c:v>4.2550025867156167</c:v>
                </c:pt>
                <c:pt idx="298">
                  <c:v>3.464420535105313</c:v>
                </c:pt>
                <c:pt idx="299">
                  <c:v>2.5067235782765716</c:v>
                </c:pt>
                <c:pt idx="300">
                  <c:v>2.4810135928583503</c:v>
                </c:pt>
                <c:pt idx="301">
                  <c:v>2.2624787168034697</c:v>
                </c:pt>
                <c:pt idx="302">
                  <c:v>2.1210737970032527</c:v>
                </c:pt>
                <c:pt idx="303">
                  <c:v>1.8768289355301511</c:v>
                </c:pt>
                <c:pt idx="304">
                  <c:v>2.1532112787760296</c:v>
                </c:pt>
                <c:pt idx="305">
                  <c:v>2.7252584543314526</c:v>
                </c:pt>
                <c:pt idx="306">
                  <c:v>2.3138986876399126</c:v>
                </c:pt>
                <c:pt idx="307">
                  <c:v>1.8768289355301511</c:v>
                </c:pt>
                <c:pt idx="308">
                  <c:v>1.5490266214478303</c:v>
                </c:pt>
                <c:pt idx="309">
                  <c:v>1.6840040448934919</c:v>
                </c:pt>
                <c:pt idx="310">
                  <c:v>2.0696538261668107</c:v>
                </c:pt>
                <c:pt idx="311">
                  <c:v>2.2624787168034697</c:v>
                </c:pt>
                <c:pt idx="312">
                  <c:v>1.8254089646937086</c:v>
                </c:pt>
                <c:pt idx="313">
                  <c:v>1.7418515120844895</c:v>
                </c:pt>
                <c:pt idx="314">
                  <c:v>1.5490266214478303</c:v>
                </c:pt>
                <c:pt idx="315">
                  <c:v>1.465469168838611</c:v>
                </c:pt>
                <c:pt idx="316">
                  <c:v>1.465469168838611</c:v>
                </c:pt>
                <c:pt idx="317">
                  <c:v>0.89342199328318828</c:v>
                </c:pt>
                <c:pt idx="318">
                  <c:v>0.89342199328318828</c:v>
                </c:pt>
                <c:pt idx="319">
                  <c:v>1.111956869338069</c:v>
                </c:pt>
                <c:pt idx="320">
                  <c:v>1.0026894313106287</c:v>
                </c:pt>
                <c:pt idx="321">
                  <c:v>1.3562017308111707</c:v>
                </c:pt>
                <c:pt idx="322">
                  <c:v>1.0862468839198478</c:v>
                </c:pt>
                <c:pt idx="323">
                  <c:v>1.0862468839198478</c:v>
                </c:pt>
                <c:pt idx="324">
                  <c:v>0.91913197870140961</c:v>
                </c:pt>
                <c:pt idx="325">
                  <c:v>0.70059710264652908</c:v>
                </c:pt>
                <c:pt idx="326">
                  <c:v>0.97697944589240748</c:v>
                </c:pt>
                <c:pt idx="327">
                  <c:v>0.91913197870140961</c:v>
                </c:pt>
                <c:pt idx="328">
                  <c:v>0.70059710264652908</c:v>
                </c:pt>
                <c:pt idx="329">
                  <c:v>0.75844456983752684</c:v>
                </c:pt>
                <c:pt idx="330">
                  <c:v>0.67488711722830785</c:v>
                </c:pt>
                <c:pt idx="331">
                  <c:v>0.61703965003730998</c:v>
                </c:pt>
                <c:pt idx="332">
                  <c:v>0.48206222659164844</c:v>
                </c:pt>
                <c:pt idx="333">
                  <c:v>0.48206222659164844</c:v>
                </c:pt>
                <c:pt idx="334">
                  <c:v>0.48206222659164844</c:v>
                </c:pt>
                <c:pt idx="335">
                  <c:v>0.61703965003730998</c:v>
                </c:pt>
                <c:pt idx="336">
                  <c:v>0.50777221200986966</c:v>
                </c:pt>
                <c:pt idx="337">
                  <c:v>0.39850477398242934</c:v>
                </c:pt>
                <c:pt idx="338">
                  <c:v>0.45635224117342715</c:v>
                </c:pt>
                <c:pt idx="339">
                  <c:v>0.37279478856420806</c:v>
                </c:pt>
                <c:pt idx="340">
                  <c:v>0.39850477398242934</c:v>
                </c:pt>
                <c:pt idx="341">
                  <c:v>0.3213748177277656</c:v>
                </c:pt>
                <c:pt idx="342">
                  <c:v>0.48206222659164844</c:v>
                </c:pt>
                <c:pt idx="343">
                  <c:v>0.48206222659164844</c:v>
                </c:pt>
                <c:pt idx="344">
                  <c:v>0.37279478856420806</c:v>
                </c:pt>
                <c:pt idx="345">
                  <c:v>0.3213748177277656</c:v>
                </c:pt>
                <c:pt idx="346">
                  <c:v>0.3213748177277656</c:v>
                </c:pt>
                <c:pt idx="347">
                  <c:v>0.3213748177277656</c:v>
                </c:pt>
                <c:pt idx="348">
                  <c:v>0.34708480314598689</c:v>
                </c:pt>
                <c:pt idx="349">
                  <c:v>0.37279478856420806</c:v>
                </c:pt>
                <c:pt idx="350">
                  <c:v>0.34708480314598689</c:v>
                </c:pt>
                <c:pt idx="351">
                  <c:v>0.28923733595498907</c:v>
                </c:pt>
                <c:pt idx="352">
                  <c:v>0.23781736511854654</c:v>
                </c:pt>
                <c:pt idx="353">
                  <c:v>0.23781736511854654</c:v>
                </c:pt>
                <c:pt idx="354">
                  <c:v>0.23781736511854654</c:v>
                </c:pt>
                <c:pt idx="355">
                  <c:v>0.23781736511854654</c:v>
                </c:pt>
                <c:pt idx="356">
                  <c:v>0.23781736511854654</c:v>
                </c:pt>
                <c:pt idx="357">
                  <c:v>0.21210737970032531</c:v>
                </c:pt>
                <c:pt idx="358">
                  <c:v>0.1542599125093275</c:v>
                </c:pt>
                <c:pt idx="359">
                  <c:v>0.17996989792754875</c:v>
                </c:pt>
                <c:pt idx="360">
                  <c:v>0.1542599125093275</c:v>
                </c:pt>
                <c:pt idx="361">
                  <c:v>0.17996989792754875</c:v>
                </c:pt>
                <c:pt idx="362">
                  <c:v>0.17996989792754875</c:v>
                </c:pt>
                <c:pt idx="363">
                  <c:v>0.17996989792754875</c:v>
                </c:pt>
                <c:pt idx="364">
                  <c:v>0.21210737970032531</c:v>
                </c:pt>
                <c:pt idx="365">
                  <c:v>0.21210737970032531</c:v>
                </c:pt>
                <c:pt idx="366">
                  <c:v>0.1542599125093275</c:v>
                </c:pt>
                <c:pt idx="367">
                  <c:v>0.1542599125093275</c:v>
                </c:pt>
                <c:pt idx="368">
                  <c:v>0.102839941672885</c:v>
                </c:pt>
                <c:pt idx="369">
                  <c:v>0.102839941672885</c:v>
                </c:pt>
                <c:pt idx="370">
                  <c:v>0.1542599125093275</c:v>
                </c:pt>
                <c:pt idx="371">
                  <c:v>0.1542599125093275</c:v>
                </c:pt>
                <c:pt idx="372">
                  <c:v>0.17996989792754875</c:v>
                </c:pt>
                <c:pt idx="373">
                  <c:v>0.1542599125093275</c:v>
                </c:pt>
                <c:pt idx="374">
                  <c:v>7.0702459900108428E-2</c:v>
                </c:pt>
                <c:pt idx="375">
                  <c:v>7.0702459900108428E-2</c:v>
                </c:pt>
                <c:pt idx="376">
                  <c:v>0.1542599125093275</c:v>
                </c:pt>
                <c:pt idx="377">
                  <c:v>7.0702459900108428E-2</c:v>
                </c:pt>
                <c:pt idx="378">
                  <c:v>4.4992474481887187E-2</c:v>
                </c:pt>
                <c:pt idx="379">
                  <c:v>0.102839941672885</c:v>
                </c:pt>
                <c:pt idx="380">
                  <c:v>0.102839941672885</c:v>
                </c:pt>
                <c:pt idx="381">
                  <c:v>0.102839941672885</c:v>
                </c:pt>
                <c:pt idx="382">
                  <c:v>0.1542599125093275</c:v>
                </c:pt>
                <c:pt idx="383">
                  <c:v>7.0702459900108428E-2</c:v>
                </c:pt>
                <c:pt idx="384">
                  <c:v>7.0702459900108428E-2</c:v>
                </c:pt>
                <c:pt idx="385">
                  <c:v>4.4992474481887187E-2</c:v>
                </c:pt>
                <c:pt idx="386">
                  <c:v>7.0702459900108428E-2</c:v>
                </c:pt>
                <c:pt idx="387">
                  <c:v>7.0702459900108428E-2</c:v>
                </c:pt>
                <c:pt idx="388">
                  <c:v>4.4992474481887187E-2</c:v>
                </c:pt>
                <c:pt idx="389">
                  <c:v>1.9282489063665937E-2</c:v>
                </c:pt>
                <c:pt idx="390">
                  <c:v>4.4992474481887187E-2</c:v>
                </c:pt>
                <c:pt idx="391">
                  <c:v>7.0702459900108428E-2</c:v>
                </c:pt>
                <c:pt idx="392">
                  <c:v>4.4992474481887187E-2</c:v>
                </c:pt>
                <c:pt idx="393">
                  <c:v>7.0702459900108428E-2</c:v>
                </c:pt>
                <c:pt idx="394">
                  <c:v>1.9282489063665937E-2</c:v>
                </c:pt>
                <c:pt idx="395">
                  <c:v>0</c:v>
                </c:pt>
                <c:pt idx="396">
                  <c:v>0</c:v>
                </c:pt>
                <c:pt idx="397">
                  <c:v>4.4992474481887187E-2</c:v>
                </c:pt>
                <c:pt idx="398">
                  <c:v>1.9282489063665937E-2</c:v>
                </c:pt>
                <c:pt idx="399">
                  <c:v>4.4992474481887187E-2</c:v>
                </c:pt>
                <c:pt idx="400">
                  <c:v>1.9282489063665937E-2</c:v>
                </c:pt>
                <c:pt idx="401">
                  <c:v>4.4992474481887187E-2</c:v>
                </c:pt>
                <c:pt idx="402">
                  <c:v>0</c:v>
                </c:pt>
                <c:pt idx="403">
                  <c:v>1.9282489063665937E-2</c:v>
                </c:pt>
                <c:pt idx="404">
                  <c:v>0</c:v>
                </c:pt>
                <c:pt idx="405">
                  <c:v>1.9282489063665937E-2</c:v>
                </c:pt>
                <c:pt idx="406">
                  <c:v>0</c:v>
                </c:pt>
                <c:pt idx="407">
                  <c:v>4.4992474481887187E-2</c:v>
                </c:pt>
                <c:pt idx="408">
                  <c:v>0</c:v>
                </c:pt>
                <c:pt idx="409">
                  <c:v>0</c:v>
                </c:pt>
                <c:pt idx="410">
                  <c:v>1.9282489063665937E-2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4.4992474481887187E-2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4.4992474481887187E-2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0-4A42-B35A-855CD630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894448"/>
        <c:axId val="1616894928"/>
      </c:lineChart>
      <c:catAx>
        <c:axId val="1616894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894928"/>
        <c:crosses val="autoZero"/>
        <c:auto val="1"/>
        <c:lblAlgn val="ctr"/>
        <c:lblOffset val="100"/>
        <c:noMultiLvlLbl val="0"/>
      </c:catAx>
      <c:valAx>
        <c:axId val="16168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89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53341</xdr:colOff>
      <xdr:row>10</xdr:row>
      <xdr:rowOff>0</xdr:rowOff>
    </xdr:from>
    <xdr:to>
      <xdr:col>12</xdr:col>
      <xdr:colOff>53341</xdr:colOff>
      <xdr:row>20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D5D2221-C853-BD6D-ACE4-8AE8730B0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495300</xdr:colOff>
      <xdr:row>23</xdr:row>
      <xdr:rowOff>133282</xdr:rowOff>
    </xdr:from>
    <xdr:ext cx="3133037" cy="366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BDFE534F-9280-159D-1930-75D27B07FE2E}"/>
                </a:ext>
              </a:extLst>
            </xdr:cNvPr>
            <xdr:cNvSpPr txBox="1"/>
          </xdr:nvSpPr>
          <xdr:spPr>
            <a:xfrm>
              <a:off x="5876925" y="3114607"/>
              <a:ext cx="3133037" cy="366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latin typeface="Cambria Math" panose="02040503050406030204" pitchFamily="18" charset="0"/>
                      </a:rPr>
                      <m:t>𝑀𝑠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∞</m:t>
                        </m:r>
                      </m:sup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𝑄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e>
                    </m:nary>
                    <m:r>
                      <a:rPr lang="it-IT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 </m:t>
                    </m:r>
                    <m:nary>
                      <m:nary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∞</m:t>
                        </m:r>
                      </m:sup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d>
                          <m:d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𝑠𝑝𝐶𝑂𝑁𝐷</m:t>
                            </m:r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𝑏𝑔𝐶𝑂𝑁𝐷</m:t>
                            </m:r>
                          </m:e>
                        </m:d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e>
                    </m:nary>
                  </m:oMath>
                </m:oMathPara>
              </a14:m>
              <a:endParaRPr lang="it-IT" sz="1100"/>
            </a:p>
          </xdr:txBody>
        </xdr:sp>
      </mc:Choice>
      <mc:Fallback xmlns="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BDFE534F-9280-159D-1930-75D27B07FE2E}"/>
                </a:ext>
              </a:extLst>
            </xdr:cNvPr>
            <xdr:cNvSpPr txBox="1"/>
          </xdr:nvSpPr>
          <xdr:spPr>
            <a:xfrm>
              <a:off x="5876925" y="3114607"/>
              <a:ext cx="3133037" cy="366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latin typeface="Cambria Math" panose="02040503050406030204" pitchFamily="18" charset="0"/>
                </a:rPr>
                <a:t>𝑀𝑠=∫_0^∞▒〖𝑄 𝐶 𝑑𝑡〗=𝑄 ∫_0^∞▒𝑏(𝑠𝑝𝐶𝑂𝑁𝐷−𝑏𝑔𝐶𝑂𝑁𝐷)𝑑𝑡</a:t>
              </a:r>
              <a:endParaRPr lang="it-IT" sz="1100"/>
            </a:p>
          </xdr:txBody>
        </xdr:sp>
      </mc:Fallback>
    </mc:AlternateContent>
    <xdr:clientData/>
  </xdr:oneCellAnchor>
  <xdr:twoCellAnchor>
    <xdr:from>
      <xdr:col>11</xdr:col>
      <xdr:colOff>304800</xdr:colOff>
      <xdr:row>233</xdr:row>
      <xdr:rowOff>182880</xdr:rowOff>
    </xdr:from>
    <xdr:to>
      <xdr:col>17</xdr:col>
      <xdr:colOff>363855</xdr:colOff>
      <xdr:row>248</xdr:row>
      <xdr:rowOff>182880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7C8F22-B6A2-4406-5EE5-66003DA7E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63500</xdr:colOff>
      <xdr:row>21</xdr:row>
      <xdr:rowOff>95250</xdr:rowOff>
    </xdr:from>
    <xdr:to>
      <xdr:col>6</xdr:col>
      <xdr:colOff>139700</xdr:colOff>
      <xdr:row>23</xdr:row>
      <xdr:rowOff>82550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D81337-9EF2-A758-7129-298141342EC8}"/>
            </a:ext>
          </a:extLst>
        </xdr:cNvPr>
        <xdr:cNvSpPr txBox="1"/>
      </xdr:nvSpPr>
      <xdr:spPr>
        <a:xfrm>
          <a:off x="3883025" y="2714625"/>
          <a:ext cx="1638300" cy="34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CH" sz="1100"/>
            <a:t>From LAB CALIBRATION</a:t>
          </a:r>
        </a:p>
      </xdr:txBody>
    </xdr:sp>
    <xdr:clientData/>
  </xdr:twoCellAnchor>
  <xdr:twoCellAnchor>
    <xdr:from>
      <xdr:col>4</xdr:col>
      <xdr:colOff>47625</xdr:colOff>
      <xdr:row>25</xdr:row>
      <xdr:rowOff>76200</xdr:rowOff>
    </xdr:from>
    <xdr:to>
      <xdr:col>6</xdr:col>
      <xdr:colOff>123825</xdr:colOff>
      <xdr:row>27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56AE3E-A9BD-499D-88E3-47CF0C8EFB93}"/>
            </a:ext>
          </a:extLst>
        </xdr:cNvPr>
        <xdr:cNvSpPr txBox="1"/>
      </xdr:nvSpPr>
      <xdr:spPr>
        <a:xfrm>
          <a:off x="3867150" y="3419475"/>
          <a:ext cx="16383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CH" sz="1100"/>
            <a:t>From previous</a:t>
          </a:r>
          <a:r>
            <a:rPr lang="fr-CH" sz="1100" baseline="0"/>
            <a:t> calibration data</a:t>
          </a:r>
          <a:endParaRPr lang="fr-CH" sz="1100"/>
        </a:p>
      </xdr:txBody>
    </xdr:sp>
    <xdr:clientData/>
  </xdr:twoCellAnchor>
  <xdr:twoCellAnchor>
    <xdr:from>
      <xdr:col>0</xdr:col>
      <xdr:colOff>476250</xdr:colOff>
      <xdr:row>0</xdr:row>
      <xdr:rowOff>127000</xdr:rowOff>
    </xdr:from>
    <xdr:to>
      <xdr:col>12</xdr:col>
      <xdr:colOff>514350</xdr:colOff>
      <xdr:row>7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474731-509B-6475-01F3-271DD3F9970F}"/>
            </a:ext>
          </a:extLst>
        </xdr:cNvPr>
        <xdr:cNvSpPr txBox="1"/>
      </xdr:nvSpPr>
      <xdr:spPr>
        <a:xfrm>
          <a:off x="476250" y="127000"/>
          <a:ext cx="998855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500" b="1"/>
            <a:t>Instructions</a:t>
          </a:r>
          <a:r>
            <a:rPr lang="fr-CH" sz="1500"/>
            <a:t>: </a:t>
          </a:r>
        </a:p>
        <a:p>
          <a:r>
            <a:rPr lang="fr-CH" sz="1500"/>
            <a:t>1) fill-in the blue field</a:t>
          </a:r>
          <a:r>
            <a:rPr lang="fr-CH" sz="1500" baseline="0"/>
            <a:t> with the observed data, yellow field are calculated consequently.</a:t>
          </a:r>
        </a:p>
        <a:p>
          <a:r>
            <a:rPr lang="fr-CH" sz="1500" baseline="0"/>
            <a:t>2) the file allows for an estimation of the EC-NaCl relation coefficients (LAB CALIBRATION section) but automatically uses old coefficient estimated in a previous calibration.</a:t>
          </a:r>
        </a:p>
        <a:p>
          <a:r>
            <a:rPr lang="fr-CH" sz="1500" baseline="0"/>
            <a:t>3) repeat for the number of measurements carried out.</a:t>
          </a:r>
        </a:p>
        <a:p>
          <a:endParaRPr lang="fr-CH" sz="1500"/>
        </a:p>
      </xdr:txBody>
    </xdr:sp>
    <xdr:clientData/>
  </xdr:twoCellAnchor>
  <xdr:twoCellAnchor>
    <xdr:from>
      <xdr:col>7</xdr:col>
      <xdr:colOff>320675</xdr:colOff>
      <xdr:row>25</xdr:row>
      <xdr:rowOff>285750</xdr:rowOff>
    </xdr:from>
    <xdr:to>
      <xdr:col>13</xdr:col>
      <xdr:colOff>663575</xdr:colOff>
      <xdr:row>40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85B8AD-74AF-33A9-5D80-C8B91DBF5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602897</xdr:colOff>
      <xdr:row>13</xdr:row>
      <xdr:rowOff>142876</xdr:rowOff>
    </xdr:from>
    <xdr:ext cx="3133037" cy="366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D0FB40FF-13E4-468E-95DF-18B1D47F71C9}"/>
                </a:ext>
              </a:extLst>
            </xdr:cNvPr>
            <xdr:cNvSpPr txBox="1"/>
          </xdr:nvSpPr>
          <xdr:spPr>
            <a:xfrm>
              <a:off x="5725230" y="2612320"/>
              <a:ext cx="3133037" cy="366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latin typeface="Cambria Math" panose="02040503050406030204" pitchFamily="18" charset="0"/>
                      </a:rPr>
                      <m:t>𝑀𝑠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∞</m:t>
                        </m:r>
                      </m:sup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𝑄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e>
                    </m:nary>
                    <m:r>
                      <a:rPr lang="it-IT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 </m:t>
                    </m:r>
                    <m:nary>
                      <m:nary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∞</m:t>
                        </m:r>
                      </m:sup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d>
                          <m:d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𝑠𝑝𝐶𝑂𝑁𝐷</m:t>
                            </m:r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𝑏𝑔𝐶𝑂𝑁𝐷</m:t>
                            </m:r>
                          </m:e>
                        </m:d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e>
                    </m:nary>
                  </m:oMath>
                </m:oMathPara>
              </a14:m>
              <a:endParaRPr lang="it-IT" sz="1100"/>
            </a:p>
          </xdr:txBody>
        </xdr:sp>
      </mc:Choice>
      <mc:Fallback xmlns="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D0FB40FF-13E4-468E-95DF-18B1D47F71C9}"/>
                </a:ext>
              </a:extLst>
            </xdr:cNvPr>
            <xdr:cNvSpPr txBox="1"/>
          </xdr:nvSpPr>
          <xdr:spPr>
            <a:xfrm>
              <a:off x="5725230" y="2612320"/>
              <a:ext cx="3133037" cy="366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latin typeface="Cambria Math" panose="02040503050406030204" pitchFamily="18" charset="0"/>
                </a:rPr>
                <a:t>𝑀𝑠=∫_0^∞▒〖𝑄 𝐶 𝑑𝑡〗=𝑄 ∫_0^∞▒𝑏(𝑠𝑝𝐶𝑂𝑁𝐷−𝑏𝑔𝐶𝑂𝑁𝐷)𝑑𝑡</a:t>
              </a:r>
              <a:endParaRPr lang="it-IT" sz="1100"/>
            </a:p>
          </xdr:txBody>
        </xdr:sp>
      </mc:Fallback>
    </mc:AlternateContent>
    <xdr:clientData/>
  </xdr:oneCellAnchor>
  <xdr:twoCellAnchor>
    <xdr:from>
      <xdr:col>10</xdr:col>
      <xdr:colOff>190501</xdr:colOff>
      <xdr:row>19</xdr:row>
      <xdr:rowOff>35278</xdr:rowOff>
    </xdr:from>
    <xdr:to>
      <xdr:col>14</xdr:col>
      <xdr:colOff>373946</xdr:colOff>
      <xdr:row>24</xdr:row>
      <xdr:rowOff>176389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6AB9FC-F99D-9A19-CACE-56217CE94455}"/>
            </a:ext>
          </a:extLst>
        </xdr:cNvPr>
        <xdr:cNvSpPr txBox="1"/>
      </xdr:nvSpPr>
      <xdr:spPr>
        <a:xfrm>
          <a:off x="10011834" y="2321278"/>
          <a:ext cx="2864556" cy="1058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100" b="1"/>
            <a:t>C_obs</a:t>
          </a:r>
          <a:r>
            <a:rPr lang="fr-CH" sz="1100" b="0"/>
            <a:t>: observed</a:t>
          </a:r>
          <a:r>
            <a:rPr lang="fr-CH" sz="1100" b="0" baseline="0"/>
            <a:t> concentration</a:t>
          </a:r>
          <a:endParaRPr lang="fr-CH" sz="1100" b="0"/>
        </a:p>
        <a:p>
          <a:r>
            <a:rPr lang="fr-CH" sz="1100" b="1"/>
            <a:t>C_adj</a:t>
          </a:r>
          <a:r>
            <a:rPr lang="fr-CH" sz="1100"/>
            <a:t>:</a:t>
          </a:r>
          <a:r>
            <a:rPr lang="fr-CH" sz="1100" baseline="0"/>
            <a:t> adjusted </a:t>
          </a:r>
          <a:r>
            <a:rPr lang="fr-CH" sz="1100"/>
            <a:t>from</a:t>
          </a:r>
          <a:r>
            <a:rPr lang="fr-CH" sz="1100" baseline="0"/>
            <a:t> </a:t>
          </a:r>
          <a:r>
            <a:rPr lang="fr-CH" sz="1100"/>
            <a:t>instrumental errors -&gt;</a:t>
          </a:r>
          <a:r>
            <a:rPr lang="fr-CH" sz="1100" baseline="0"/>
            <a:t> values &lt;0 are assigned 0</a:t>
          </a:r>
        </a:p>
        <a:p>
          <a:r>
            <a:rPr lang="fr-CH" sz="1100" b="1" baseline="0"/>
            <a:t>C_corr_temp</a:t>
          </a:r>
          <a:r>
            <a:rPr lang="fr-CH" sz="1100" baseline="0"/>
            <a:t>: adjusted for temperature effect</a:t>
          </a:r>
          <a:endParaRPr lang="fr-CH" sz="1100"/>
        </a:p>
      </xdr:txBody>
    </xdr:sp>
    <xdr:clientData/>
  </xdr:twoCellAnchor>
  <xdr:twoCellAnchor>
    <xdr:from>
      <xdr:col>0</xdr:col>
      <xdr:colOff>239889</xdr:colOff>
      <xdr:row>0</xdr:row>
      <xdr:rowOff>141111</xdr:rowOff>
    </xdr:from>
    <xdr:to>
      <xdr:col>10</xdr:col>
      <xdr:colOff>385939</xdr:colOff>
      <xdr:row>7</xdr:row>
      <xdr:rowOff>12700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74E05D-DE49-4929-9785-030951487173}"/>
            </a:ext>
          </a:extLst>
        </xdr:cNvPr>
        <xdr:cNvSpPr txBox="1"/>
      </xdr:nvSpPr>
      <xdr:spPr>
        <a:xfrm>
          <a:off x="239889" y="141111"/>
          <a:ext cx="9988550" cy="115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500" b="1"/>
            <a:t>Instructions</a:t>
          </a:r>
          <a:r>
            <a:rPr lang="fr-CH" sz="1500"/>
            <a:t>: </a:t>
          </a:r>
        </a:p>
        <a:p>
          <a:r>
            <a:rPr lang="fr-CH" sz="1500"/>
            <a:t>1) fill-in the blue field</a:t>
          </a:r>
          <a:r>
            <a:rPr lang="fr-CH" sz="1500" baseline="0"/>
            <a:t> with the observed data, yellow field are calculated consequently.</a:t>
          </a:r>
        </a:p>
        <a:p>
          <a:r>
            <a:rPr lang="fr-CH" sz="1500" baseline="0"/>
            <a:t>2) the file adjusts observed concentration by replacing negative numbers with 0 and then corrects it by temperature.</a:t>
          </a:r>
        </a:p>
        <a:p>
          <a:r>
            <a:rPr lang="fr-CH" sz="1500" baseline="0"/>
            <a:t>3) repeat for the number of measurements carried out.</a:t>
          </a:r>
        </a:p>
        <a:p>
          <a:endParaRPr lang="fr-CH" sz="1500"/>
        </a:p>
      </xdr:txBody>
    </xdr:sp>
    <xdr:clientData/>
  </xdr:twoCellAnchor>
  <xdr:twoCellAnchor>
    <xdr:from>
      <xdr:col>11</xdr:col>
      <xdr:colOff>359832</xdr:colOff>
      <xdr:row>2</xdr:row>
      <xdr:rowOff>14815</xdr:rowOff>
    </xdr:from>
    <xdr:to>
      <xdr:col>14</xdr:col>
      <xdr:colOff>3033888</xdr:colOff>
      <xdr:row>16</xdr:row>
      <xdr:rowOff>105126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2ED151-4595-8DF4-937D-DB1794533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ADCF-D4DE-4B71-817D-05854C959523}">
  <dimension ref="B9:R639"/>
  <sheetViews>
    <sheetView topLeftCell="A63" workbookViewId="0">
      <selection activeCell="E39" sqref="E39:E85"/>
    </sheetView>
  </sheetViews>
  <sheetFormatPr defaultRowHeight="14.5" x14ac:dyDescent="0.35"/>
  <cols>
    <col min="2" max="2" width="23.26953125" bestFit="1" customWidth="1"/>
    <col min="4" max="5" width="13.90625" bestFit="1" customWidth="1"/>
    <col min="6" max="10" width="11.1796875" bestFit="1" customWidth="1"/>
    <col min="11" max="13" width="9" bestFit="1" customWidth="1"/>
    <col min="14" max="14" width="19.81640625" bestFit="1" customWidth="1"/>
    <col min="15" max="16" width="9.81640625" bestFit="1" customWidth="1"/>
  </cols>
  <sheetData>
    <row r="9" spans="2:14" ht="21" x14ac:dyDescent="0.5">
      <c r="B9" s="49" t="s">
        <v>18</v>
      </c>
      <c r="C9" s="105">
        <v>45911</v>
      </c>
      <c r="D9" s="105"/>
      <c r="E9" s="105"/>
      <c r="F9" s="105"/>
      <c r="G9" s="105"/>
      <c r="H9" s="48"/>
      <c r="I9" s="48"/>
      <c r="J9" s="48"/>
      <c r="K9" s="48"/>
      <c r="L9" s="48"/>
      <c r="M9" s="48"/>
      <c r="N9" s="48"/>
    </row>
    <row r="11" spans="2:14" x14ac:dyDescent="0.35">
      <c r="B11" s="106" t="s">
        <v>33</v>
      </c>
      <c r="C11" s="107"/>
      <c r="D11" s="107"/>
      <c r="E11" s="108"/>
    </row>
    <row r="12" spans="2:14" x14ac:dyDescent="0.35">
      <c r="B12" s="37" t="s">
        <v>19</v>
      </c>
      <c r="C12" s="115">
        <v>45911</v>
      </c>
      <c r="D12" s="116"/>
      <c r="E12" s="117"/>
    </row>
    <row r="13" spans="2:14" x14ac:dyDescent="0.35">
      <c r="B13" s="47"/>
      <c r="C13" s="19" t="s">
        <v>6</v>
      </c>
      <c r="D13" s="16" t="s">
        <v>7</v>
      </c>
      <c r="E13" s="17" t="s">
        <v>8</v>
      </c>
    </row>
    <row r="14" spans="2:14" x14ac:dyDescent="0.35">
      <c r="B14" s="13" t="s">
        <v>20</v>
      </c>
      <c r="C14" s="24"/>
      <c r="D14" s="25"/>
      <c r="E14" s="26"/>
    </row>
    <row r="15" spans="2:14" x14ac:dyDescent="0.35">
      <c r="B15" s="4" t="s">
        <v>21</v>
      </c>
      <c r="C15" s="33"/>
      <c r="D15" s="34"/>
      <c r="E15" s="35"/>
    </row>
    <row r="16" spans="2:14" x14ac:dyDescent="0.35">
      <c r="B16" s="5" t="s">
        <v>22</v>
      </c>
      <c r="C16" s="27"/>
      <c r="D16" s="28"/>
      <c r="E16" s="29"/>
    </row>
    <row r="17" spans="2:18" x14ac:dyDescent="0.35">
      <c r="B17" s="13" t="s">
        <v>23</v>
      </c>
      <c r="C17" s="85">
        <f>C15-C14</f>
        <v>0</v>
      </c>
      <c r="D17" s="86">
        <f t="shared" ref="D17:E17" si="0">D15-D14</f>
        <v>0</v>
      </c>
      <c r="E17" s="87">
        <f t="shared" si="0"/>
        <v>0</v>
      </c>
    </row>
    <row r="18" spans="2:18" x14ac:dyDescent="0.35">
      <c r="B18" s="4" t="s">
        <v>24</v>
      </c>
      <c r="C18" s="88">
        <f>(C16-C15)/1000</f>
        <v>0</v>
      </c>
      <c r="D18" s="89">
        <f t="shared" ref="D18:E18" si="1">(D16-D15)/1000</f>
        <v>0</v>
      </c>
      <c r="E18" s="90">
        <f t="shared" si="1"/>
        <v>0</v>
      </c>
    </row>
    <row r="19" spans="2:18" x14ac:dyDescent="0.35">
      <c r="B19" s="5" t="s">
        <v>11</v>
      </c>
      <c r="C19" s="91" t="e">
        <f>C17/C18</f>
        <v>#DIV/0!</v>
      </c>
      <c r="D19" s="92" t="e">
        <f t="shared" ref="D19:E19" si="2">D17/D18</f>
        <v>#DIV/0!</v>
      </c>
      <c r="E19" s="93" t="e">
        <f t="shared" si="2"/>
        <v>#DIV/0!</v>
      </c>
    </row>
    <row r="20" spans="2:18" x14ac:dyDescent="0.35">
      <c r="B20" s="47" t="s">
        <v>10</v>
      </c>
      <c r="C20" s="30"/>
      <c r="D20" s="31"/>
      <c r="E20" s="32"/>
    </row>
    <row r="22" spans="2:18" ht="29" x14ac:dyDescent="0.35">
      <c r="B22" s="82" t="s">
        <v>49</v>
      </c>
      <c r="C22" s="62" t="s">
        <v>12</v>
      </c>
      <c r="D22" s="14"/>
    </row>
    <row r="23" spans="2:18" x14ac:dyDescent="0.35">
      <c r="B23" s="46" t="s">
        <v>13</v>
      </c>
      <c r="C23" s="83" t="e">
        <f>_xlfn.COVARIANCE.S(C19:E19,C20:E20)/VAR(C20:E20)</f>
        <v>#DIV/0!</v>
      </c>
      <c r="D23" s="46" t="s">
        <v>17</v>
      </c>
    </row>
    <row r="24" spans="2:18" x14ac:dyDescent="0.35">
      <c r="B24" s="46" t="s">
        <v>14</v>
      </c>
      <c r="C24" s="83" t="e">
        <f>AVERAGE(C19:E19)-C23*AVERAGE(C20:E20)</f>
        <v>#DIV/0!</v>
      </c>
      <c r="D24" s="46">
        <v>15</v>
      </c>
    </row>
    <row r="25" spans="2:18" x14ac:dyDescent="0.35">
      <c r="C25" s="50"/>
      <c r="F25" s="61"/>
    </row>
    <row r="26" spans="2:18" ht="29" x14ac:dyDescent="0.35">
      <c r="B26" s="82" t="s">
        <v>50</v>
      </c>
      <c r="C26" s="62" t="s">
        <v>12</v>
      </c>
      <c r="D26" s="14"/>
      <c r="F26" s="61"/>
    </row>
    <row r="27" spans="2:18" x14ac:dyDescent="0.35">
      <c r="B27" s="46" t="s">
        <v>13</v>
      </c>
      <c r="C27" s="83">
        <f>1/1915.89616</f>
        <v>5.2194895573046086E-4</v>
      </c>
      <c r="D27" s="46"/>
      <c r="F27" s="61"/>
    </row>
    <row r="28" spans="2:18" x14ac:dyDescent="0.35">
      <c r="B28" s="46" t="s">
        <v>14</v>
      </c>
      <c r="C28" s="83">
        <f>-24.25398*C27</f>
        <v>-1.2659339533307482E-2</v>
      </c>
      <c r="D28" s="46"/>
      <c r="F28" s="61"/>
    </row>
    <row r="29" spans="2:18" x14ac:dyDescent="0.35">
      <c r="C29" s="50"/>
      <c r="F29" s="61"/>
    </row>
    <row r="31" spans="2:18" x14ac:dyDescent="0.35">
      <c r="B31" s="20" t="s">
        <v>35</v>
      </c>
      <c r="C31" s="21"/>
      <c r="D31" s="21"/>
      <c r="E31" s="52"/>
      <c r="F31" s="52"/>
      <c r="G31" s="22"/>
      <c r="H31" s="42"/>
    </row>
    <row r="32" spans="2:18" x14ac:dyDescent="0.35">
      <c r="B32" s="40"/>
      <c r="C32" s="109" t="s">
        <v>25</v>
      </c>
      <c r="D32" s="110"/>
      <c r="E32" s="57">
        <v>1</v>
      </c>
      <c r="F32" s="57">
        <v>2</v>
      </c>
      <c r="G32" s="15">
        <v>3</v>
      </c>
      <c r="H32" s="100"/>
      <c r="I32" s="68"/>
      <c r="J32" s="68"/>
      <c r="K32" s="68"/>
      <c r="L32" s="68"/>
      <c r="M32" s="68"/>
      <c r="N32" s="68"/>
      <c r="O32" s="68"/>
      <c r="P32" s="68"/>
      <c r="Q32" s="68"/>
      <c r="R32" s="68"/>
    </row>
    <row r="33" spans="2:18" x14ac:dyDescent="0.35">
      <c r="B33" s="43"/>
      <c r="C33" s="120" t="s">
        <v>26</v>
      </c>
      <c r="D33" s="121"/>
      <c r="E33" s="53"/>
      <c r="F33" s="53"/>
      <c r="G33" s="36"/>
      <c r="H33" s="100"/>
      <c r="I33" s="68"/>
      <c r="J33" s="68"/>
      <c r="K33" s="68"/>
      <c r="L33" s="68"/>
      <c r="M33" s="68"/>
      <c r="N33" s="68"/>
      <c r="O33" s="68"/>
      <c r="P33" s="68"/>
      <c r="Q33" s="68"/>
      <c r="R33" s="68"/>
    </row>
    <row r="34" spans="2:18" x14ac:dyDescent="0.35">
      <c r="B34" s="6"/>
      <c r="C34" s="118" t="s">
        <v>27</v>
      </c>
      <c r="D34" s="119"/>
      <c r="E34" s="58" t="s">
        <v>52</v>
      </c>
      <c r="F34" s="58"/>
      <c r="G34" s="59"/>
      <c r="H34" s="101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 spans="2:18" x14ac:dyDescent="0.35">
      <c r="B35" s="13" t="s">
        <v>36</v>
      </c>
      <c r="C35" s="7" t="s">
        <v>37</v>
      </c>
      <c r="D35" s="8" t="s">
        <v>4</v>
      </c>
      <c r="E35" s="54">
        <v>3500</v>
      </c>
      <c r="F35" s="54"/>
      <c r="G35" s="39"/>
      <c r="H35" s="102"/>
      <c r="I35" s="78"/>
      <c r="J35" s="78"/>
      <c r="K35" s="78"/>
      <c r="L35" s="78"/>
      <c r="M35" s="78"/>
      <c r="N35" s="78"/>
      <c r="O35" s="78"/>
      <c r="P35" s="78"/>
      <c r="Q35" s="78"/>
      <c r="R35" s="78"/>
    </row>
    <row r="36" spans="2:18" x14ac:dyDescent="0.35">
      <c r="B36" s="3" t="s">
        <v>28</v>
      </c>
      <c r="C36" s="2" t="s">
        <v>9</v>
      </c>
      <c r="D36" s="11" t="s">
        <v>3</v>
      </c>
      <c r="E36" s="55">
        <v>359</v>
      </c>
      <c r="F36" s="55"/>
      <c r="G36" s="23"/>
      <c r="H36" s="103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2:18" x14ac:dyDescent="0.35">
      <c r="B37" s="3" t="s">
        <v>29</v>
      </c>
      <c r="C37" s="2" t="s">
        <v>5</v>
      </c>
      <c r="D37" s="11" t="s">
        <v>1</v>
      </c>
      <c r="E37" s="56">
        <v>10</v>
      </c>
      <c r="F37" s="56"/>
      <c r="G37" s="10"/>
      <c r="H37" s="103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2:18" ht="21" x14ac:dyDescent="0.35">
      <c r="B38" s="63" t="s">
        <v>30</v>
      </c>
      <c r="C38" s="64" t="s">
        <v>0</v>
      </c>
      <c r="D38" s="65" t="s">
        <v>2</v>
      </c>
      <c r="E38" s="84">
        <f>E35/((SUM(E39:E939)-E36*COUNT(E39:E939))*$C$27*E37)</f>
        <v>468.84366789022783</v>
      </c>
      <c r="F38" s="84" t="e">
        <f>F35/((SUM(F39:F939)-F36*COUNT(F39:F939))*$C$27*F37)</f>
        <v>#DIV/0!</v>
      </c>
      <c r="G38" s="84" t="e">
        <f t="shared" ref="G38" si="3">G35/((SUM(G39:G939)-G36*COUNT(G39:G939))*$C$27*G37)</f>
        <v>#DIV/0!</v>
      </c>
      <c r="H38" s="104"/>
      <c r="I38" s="79"/>
      <c r="J38" s="79"/>
      <c r="K38" s="79"/>
      <c r="L38" s="79"/>
      <c r="M38" s="79"/>
      <c r="N38" s="79"/>
      <c r="O38" s="79"/>
      <c r="P38" s="79"/>
      <c r="Q38" s="79"/>
      <c r="R38" s="79"/>
    </row>
    <row r="39" spans="2:18" ht="14.5" customHeight="1" x14ac:dyDescent="0.35">
      <c r="B39" s="122" t="s">
        <v>31</v>
      </c>
      <c r="C39" s="111" t="s">
        <v>32</v>
      </c>
      <c r="D39" s="112"/>
      <c r="E39" s="94">
        <v>359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2:18" x14ac:dyDescent="0.35">
      <c r="B40" s="123"/>
      <c r="C40" s="113"/>
      <c r="D40" s="114"/>
      <c r="E40" s="94">
        <v>359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 spans="2:18" x14ac:dyDescent="0.35">
      <c r="B41" s="123"/>
      <c r="C41" s="113"/>
      <c r="D41" s="114"/>
      <c r="E41" s="94">
        <v>359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2:18" x14ac:dyDescent="0.35">
      <c r="B42" s="123"/>
      <c r="C42" s="113"/>
      <c r="D42" s="114"/>
      <c r="E42" s="94">
        <v>359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 spans="2:18" x14ac:dyDescent="0.35">
      <c r="B43" s="4"/>
      <c r="C43" s="113"/>
      <c r="D43" s="114"/>
      <c r="E43" s="94">
        <v>359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2:18" x14ac:dyDescent="0.35">
      <c r="B44" s="4"/>
      <c r="C44" s="113"/>
      <c r="D44" s="114"/>
      <c r="E44" s="94">
        <v>359</v>
      </c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 spans="2:18" x14ac:dyDescent="0.35">
      <c r="B45" s="4"/>
      <c r="C45" s="4"/>
      <c r="D45" s="44"/>
      <c r="E45" s="94">
        <v>359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 spans="2:18" x14ac:dyDescent="0.35">
      <c r="B46" s="4"/>
      <c r="C46" s="4"/>
      <c r="D46" s="44"/>
      <c r="E46" s="94">
        <v>359</v>
      </c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2:18" x14ac:dyDescent="0.35">
      <c r="B47" s="4"/>
      <c r="C47" s="4"/>
      <c r="D47" s="44"/>
      <c r="E47" s="94">
        <v>359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2:18" x14ac:dyDescent="0.35">
      <c r="B48" s="4"/>
      <c r="C48" s="4"/>
      <c r="D48" s="44"/>
      <c r="E48" s="94">
        <v>359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 spans="2:18" x14ac:dyDescent="0.35">
      <c r="B49" s="4"/>
      <c r="C49" s="4"/>
      <c r="D49" s="44"/>
      <c r="E49" s="94">
        <v>359</v>
      </c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2:18" x14ac:dyDescent="0.35">
      <c r="B50" s="4"/>
      <c r="C50" s="4"/>
      <c r="D50" s="44"/>
      <c r="E50" s="94">
        <v>359</v>
      </c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 spans="2:18" x14ac:dyDescent="0.35">
      <c r="B51" s="4"/>
      <c r="C51" s="4"/>
      <c r="D51" s="44"/>
      <c r="E51" s="94">
        <v>359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2" spans="2:18" x14ac:dyDescent="0.35">
      <c r="B52" s="4"/>
      <c r="C52" s="4"/>
      <c r="D52" s="44"/>
      <c r="E52" s="94">
        <v>359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 spans="2:18" x14ac:dyDescent="0.35">
      <c r="B53" s="4"/>
      <c r="C53" s="4"/>
      <c r="D53" s="44"/>
      <c r="E53" s="94">
        <v>359</v>
      </c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</row>
    <row r="54" spans="2:18" x14ac:dyDescent="0.35">
      <c r="B54" s="4"/>
      <c r="C54" s="4"/>
      <c r="D54" s="44"/>
      <c r="E54" s="94">
        <v>359</v>
      </c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x14ac:dyDescent="0.35">
      <c r="B55" s="4"/>
      <c r="C55" s="4"/>
      <c r="D55" s="44"/>
      <c r="E55" s="94">
        <v>359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2:18" x14ac:dyDescent="0.35">
      <c r="B56" s="4"/>
      <c r="C56" s="4"/>
      <c r="D56" s="44"/>
      <c r="E56" s="94">
        <v>359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2:18" x14ac:dyDescent="0.35">
      <c r="B57" s="4"/>
      <c r="C57" s="4"/>
      <c r="D57" s="44"/>
      <c r="E57" s="94">
        <v>359.4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2:18" x14ac:dyDescent="0.35">
      <c r="B58" s="4"/>
      <c r="C58" s="4"/>
      <c r="D58" s="44"/>
      <c r="E58" s="94">
        <v>359.6</v>
      </c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x14ac:dyDescent="0.35">
      <c r="B59" s="4"/>
      <c r="C59" s="4"/>
      <c r="D59" s="44"/>
      <c r="E59" s="94">
        <v>359.3</v>
      </c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</row>
    <row r="60" spans="2:18" x14ac:dyDescent="0.35">
      <c r="B60" s="4"/>
      <c r="C60" s="4"/>
      <c r="D60" s="44"/>
      <c r="E60" s="94">
        <v>359.2</v>
      </c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 spans="2:18" x14ac:dyDescent="0.35">
      <c r="B61" s="4"/>
      <c r="C61" s="4"/>
      <c r="D61" s="44"/>
      <c r="E61" s="94">
        <v>361.6</v>
      </c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</row>
    <row r="62" spans="2:18" x14ac:dyDescent="0.35">
      <c r="B62" s="4"/>
      <c r="C62" s="4"/>
      <c r="D62" s="44"/>
      <c r="E62" s="94">
        <v>375.2</v>
      </c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</row>
    <row r="63" spans="2:18" x14ac:dyDescent="0.35">
      <c r="B63" s="4"/>
      <c r="C63" s="4"/>
      <c r="D63" s="44"/>
      <c r="E63" s="94">
        <v>419.2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 spans="2:18" x14ac:dyDescent="0.35">
      <c r="B64" s="4"/>
      <c r="C64" s="4"/>
      <c r="D64" s="44"/>
      <c r="E64" s="94">
        <v>487.4</v>
      </c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</row>
    <row r="65" spans="2:18" x14ac:dyDescent="0.35">
      <c r="B65" s="4"/>
      <c r="C65" s="4"/>
      <c r="D65" s="44"/>
      <c r="E65" s="94">
        <v>530</v>
      </c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 spans="2:18" x14ac:dyDescent="0.35">
      <c r="B66" s="4"/>
      <c r="C66" s="4"/>
      <c r="D66" s="44"/>
      <c r="E66" s="94">
        <v>559.4</v>
      </c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 spans="2:18" x14ac:dyDescent="0.35">
      <c r="B67" s="4"/>
      <c r="C67" s="4"/>
      <c r="D67" s="44"/>
      <c r="E67" s="94">
        <v>557.4</v>
      </c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</row>
    <row r="68" spans="2:18" x14ac:dyDescent="0.35">
      <c r="B68" s="4"/>
      <c r="C68" s="4"/>
      <c r="D68" s="44"/>
      <c r="E68" s="94">
        <v>542.4</v>
      </c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 spans="2:18" x14ac:dyDescent="0.35">
      <c r="B69" s="4"/>
      <c r="C69" s="4"/>
      <c r="D69" s="44"/>
      <c r="E69" s="94">
        <v>483.6</v>
      </c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</row>
    <row r="70" spans="2:18" x14ac:dyDescent="0.35">
      <c r="B70" s="4"/>
      <c r="C70" s="4"/>
      <c r="D70" s="44"/>
      <c r="E70" s="94">
        <f>(E69+E71)/2</f>
        <v>454.55</v>
      </c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</row>
    <row r="71" spans="2:18" x14ac:dyDescent="0.35">
      <c r="B71" s="4"/>
      <c r="C71" s="4"/>
      <c r="D71" s="44"/>
      <c r="E71" s="94">
        <v>425.5</v>
      </c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</row>
    <row r="72" spans="2:18" x14ac:dyDescent="0.35">
      <c r="B72" s="4"/>
      <c r="C72" s="4"/>
      <c r="D72" s="44"/>
      <c r="E72" s="94">
        <v>419.1</v>
      </c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</row>
    <row r="73" spans="2:18" x14ac:dyDescent="0.35">
      <c r="B73" s="4"/>
      <c r="C73" s="4"/>
      <c r="D73" s="44"/>
      <c r="E73" s="94">
        <v>408.5</v>
      </c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2:18" x14ac:dyDescent="0.35">
      <c r="B74" s="4"/>
      <c r="C74" s="4"/>
      <c r="D74" s="44"/>
      <c r="E74" s="94">
        <v>394.3</v>
      </c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</row>
    <row r="75" spans="2:18" x14ac:dyDescent="0.35">
      <c r="B75" s="4"/>
      <c r="C75" s="4"/>
      <c r="D75" s="44"/>
      <c r="E75" s="94">
        <v>381</v>
      </c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</row>
    <row r="76" spans="2:18" x14ac:dyDescent="0.35">
      <c r="B76" s="4"/>
      <c r="C76" s="4"/>
      <c r="D76" s="44"/>
      <c r="E76" s="94">
        <v>369.2</v>
      </c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 spans="2:18" x14ac:dyDescent="0.35">
      <c r="B77" s="4"/>
      <c r="C77" s="4"/>
      <c r="D77" s="44"/>
      <c r="E77" s="94">
        <v>366.6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</row>
    <row r="78" spans="2:18" x14ac:dyDescent="0.35">
      <c r="B78" s="4"/>
      <c r="C78" s="4"/>
      <c r="D78" s="44"/>
      <c r="E78" s="94">
        <v>358.6</v>
      </c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</row>
    <row r="79" spans="2:18" x14ac:dyDescent="0.35">
      <c r="B79" s="4"/>
      <c r="C79" s="4"/>
      <c r="D79" s="44"/>
      <c r="E79" s="94">
        <v>360</v>
      </c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</row>
    <row r="80" spans="2:18" x14ac:dyDescent="0.35">
      <c r="B80" s="4"/>
      <c r="C80" s="4"/>
      <c r="D80" s="44"/>
      <c r="E80" s="94">
        <v>362.1</v>
      </c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</row>
    <row r="81" spans="2:18" x14ac:dyDescent="0.35">
      <c r="B81" s="4"/>
      <c r="C81" s="4"/>
      <c r="D81" s="44"/>
      <c r="E81" s="94">
        <v>361</v>
      </c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</row>
    <row r="82" spans="2:18" x14ac:dyDescent="0.35">
      <c r="B82" s="4"/>
      <c r="C82" s="4"/>
      <c r="D82" s="44"/>
      <c r="E82" s="94">
        <v>361</v>
      </c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x14ac:dyDescent="0.35">
      <c r="B83" s="4"/>
      <c r="C83" s="4"/>
      <c r="D83" s="44"/>
      <c r="E83" s="94">
        <v>360.2</v>
      </c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</row>
    <row r="84" spans="2:18" x14ac:dyDescent="0.35">
      <c r="B84" s="4"/>
      <c r="C84" s="4"/>
      <c r="D84" s="44"/>
      <c r="E84" s="94">
        <v>348</v>
      </c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</row>
    <row r="85" spans="2:18" x14ac:dyDescent="0.35">
      <c r="B85" s="4"/>
      <c r="C85" s="4"/>
      <c r="D85" s="44"/>
      <c r="E85" s="94">
        <v>357.9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</row>
    <row r="86" spans="2:18" x14ac:dyDescent="0.35">
      <c r="B86" s="4"/>
      <c r="C86" s="4"/>
      <c r="D86" s="44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x14ac:dyDescent="0.35">
      <c r="B87" s="4"/>
      <c r="C87" s="4"/>
      <c r="D87" s="44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</row>
    <row r="88" spans="2:18" x14ac:dyDescent="0.35">
      <c r="B88" s="4"/>
      <c r="C88" s="4"/>
      <c r="D88" s="44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</row>
    <row r="89" spans="2:18" x14ac:dyDescent="0.35">
      <c r="B89" s="4"/>
      <c r="C89" s="4"/>
      <c r="D89" s="44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</row>
    <row r="90" spans="2:18" x14ac:dyDescent="0.35">
      <c r="B90" s="4"/>
      <c r="C90" s="4"/>
      <c r="D90" s="44"/>
      <c r="E90" s="51"/>
      <c r="F90" s="51"/>
      <c r="G90" s="51"/>
      <c r="H90" s="51"/>
      <c r="J90" s="51"/>
      <c r="K90" s="51"/>
      <c r="L90" s="51"/>
      <c r="M90" s="51"/>
      <c r="N90" s="51"/>
      <c r="O90" s="51"/>
      <c r="P90" s="51"/>
      <c r="Q90" s="51"/>
      <c r="R90" s="51"/>
    </row>
    <row r="91" spans="2:18" x14ac:dyDescent="0.35">
      <c r="B91" s="4"/>
      <c r="C91" s="4"/>
      <c r="D91" s="44"/>
      <c r="E91" s="51"/>
      <c r="F91" s="51"/>
      <c r="G91" s="51"/>
      <c r="H91" s="51"/>
      <c r="J91" s="51"/>
      <c r="K91" s="51"/>
      <c r="L91" s="51"/>
      <c r="M91" s="51"/>
      <c r="N91" s="51"/>
      <c r="O91" s="51"/>
      <c r="P91" s="51"/>
      <c r="Q91" s="51"/>
      <c r="R91" s="51"/>
    </row>
    <row r="92" spans="2:18" x14ac:dyDescent="0.35">
      <c r="B92" s="4"/>
      <c r="C92" s="4"/>
      <c r="D92" s="44"/>
      <c r="E92" s="51"/>
      <c r="F92" s="51"/>
      <c r="G92" s="51"/>
      <c r="H92" s="51"/>
      <c r="J92" s="51"/>
      <c r="K92" s="51"/>
      <c r="L92" s="51"/>
      <c r="M92" s="51"/>
      <c r="N92" s="51"/>
      <c r="O92" s="51"/>
      <c r="P92" s="51"/>
      <c r="Q92" s="51"/>
      <c r="R92" s="51"/>
    </row>
    <row r="93" spans="2:18" x14ac:dyDescent="0.35">
      <c r="B93" s="4"/>
      <c r="C93" s="4"/>
      <c r="D93" s="44"/>
      <c r="E93" s="51"/>
      <c r="F93" s="51"/>
      <c r="G93" s="51"/>
      <c r="H93" s="51"/>
      <c r="J93" s="51"/>
      <c r="K93" s="51"/>
      <c r="L93" s="51"/>
      <c r="M93" s="51"/>
      <c r="N93" s="51"/>
      <c r="O93" s="51"/>
      <c r="P93" s="51"/>
      <c r="Q93" s="51"/>
      <c r="R93" s="51"/>
    </row>
    <row r="94" spans="2:18" x14ac:dyDescent="0.35">
      <c r="B94" s="4"/>
      <c r="C94" s="4"/>
      <c r="D94" s="44"/>
      <c r="E94" s="51"/>
      <c r="F94" s="51"/>
      <c r="G94" s="51"/>
      <c r="H94" s="51"/>
      <c r="J94" s="51"/>
      <c r="K94" s="51"/>
      <c r="L94" s="51"/>
      <c r="M94" s="51"/>
      <c r="N94" s="51"/>
      <c r="P94" s="51"/>
      <c r="Q94" s="51"/>
      <c r="R94" s="51"/>
    </row>
    <row r="95" spans="2:18" x14ac:dyDescent="0.35">
      <c r="B95" s="4"/>
      <c r="C95" s="4"/>
      <c r="D95" s="44"/>
      <c r="E95" s="51"/>
      <c r="F95" s="51"/>
      <c r="G95" s="51"/>
      <c r="H95" s="51"/>
      <c r="J95" s="51"/>
      <c r="K95" s="51"/>
      <c r="L95" s="51"/>
      <c r="M95" s="51"/>
      <c r="N95" s="51"/>
      <c r="P95" s="51"/>
      <c r="Q95" s="51"/>
      <c r="R95" s="51"/>
    </row>
    <row r="96" spans="2:18" x14ac:dyDescent="0.35">
      <c r="B96" s="4"/>
      <c r="C96" s="4"/>
      <c r="D96" s="44"/>
      <c r="E96" s="51"/>
      <c r="F96" s="51"/>
      <c r="G96" s="51"/>
      <c r="H96" s="51"/>
      <c r="J96" s="51"/>
      <c r="K96" s="51"/>
      <c r="L96" s="51"/>
      <c r="M96" s="51"/>
      <c r="N96" s="51"/>
      <c r="P96" s="51"/>
      <c r="Q96" s="51"/>
      <c r="R96" s="51"/>
    </row>
    <row r="97" spans="2:18" x14ac:dyDescent="0.35">
      <c r="B97" s="4"/>
      <c r="C97" s="4"/>
      <c r="D97" s="44"/>
      <c r="E97" s="51"/>
      <c r="F97" s="51"/>
      <c r="G97" s="51"/>
      <c r="H97" s="51"/>
      <c r="J97" s="51"/>
      <c r="K97" s="51"/>
      <c r="L97" s="51"/>
      <c r="M97" s="51"/>
      <c r="N97" s="51"/>
      <c r="P97" s="51"/>
      <c r="Q97" s="51"/>
      <c r="R97" s="51"/>
    </row>
    <row r="98" spans="2:18" x14ac:dyDescent="0.35">
      <c r="B98" s="4"/>
      <c r="C98" s="4"/>
      <c r="D98" s="44"/>
      <c r="E98" s="51"/>
      <c r="F98" s="51"/>
      <c r="G98" s="51"/>
      <c r="H98" s="51"/>
      <c r="J98" s="51"/>
      <c r="K98" s="51"/>
      <c r="L98" s="51"/>
      <c r="M98" s="51"/>
      <c r="N98" s="51"/>
      <c r="P98" s="51"/>
      <c r="Q98" s="51"/>
      <c r="R98" s="51"/>
    </row>
    <row r="99" spans="2:18" x14ac:dyDescent="0.35">
      <c r="B99" s="4"/>
      <c r="C99" s="4"/>
      <c r="D99" s="44"/>
      <c r="E99" s="51"/>
      <c r="F99" s="51"/>
      <c r="G99" s="51"/>
      <c r="H99" s="51"/>
      <c r="J99" s="51"/>
      <c r="K99" s="51"/>
      <c r="L99" s="51"/>
      <c r="M99" s="51"/>
      <c r="N99" s="51"/>
      <c r="P99" s="51"/>
      <c r="Q99" s="51"/>
      <c r="R99" s="51"/>
    </row>
    <row r="100" spans="2:18" x14ac:dyDescent="0.35">
      <c r="B100" s="4"/>
      <c r="C100" s="4"/>
      <c r="D100" s="44"/>
      <c r="E100" s="51"/>
      <c r="F100" s="51"/>
      <c r="G100" s="51"/>
      <c r="H100" s="51"/>
      <c r="J100" s="51"/>
      <c r="K100" s="51"/>
      <c r="L100" s="51"/>
      <c r="M100" s="51"/>
      <c r="N100" s="51"/>
      <c r="P100" s="51"/>
      <c r="Q100" s="51"/>
      <c r="R100" s="51"/>
    </row>
    <row r="101" spans="2:18" x14ac:dyDescent="0.35">
      <c r="B101" s="4"/>
      <c r="C101" s="4"/>
      <c r="D101" s="44"/>
      <c r="E101" s="51"/>
      <c r="F101" s="51"/>
      <c r="G101" s="51"/>
      <c r="H101" s="51"/>
      <c r="J101" s="51"/>
      <c r="K101" s="51"/>
      <c r="L101" s="51"/>
      <c r="M101" s="51"/>
      <c r="N101" s="51"/>
      <c r="P101" s="51"/>
      <c r="Q101" s="51"/>
      <c r="R101" s="51"/>
    </row>
    <row r="102" spans="2:18" x14ac:dyDescent="0.35">
      <c r="B102" s="4"/>
      <c r="C102" s="4"/>
      <c r="D102" s="44"/>
      <c r="E102" s="51"/>
      <c r="F102" s="51"/>
      <c r="G102" s="51"/>
      <c r="H102" s="51"/>
      <c r="J102" s="51"/>
      <c r="K102" s="51"/>
      <c r="L102" s="51"/>
      <c r="M102" s="51"/>
      <c r="N102" s="51"/>
      <c r="P102" s="51"/>
      <c r="Q102" s="51"/>
      <c r="R102" s="51"/>
    </row>
    <row r="103" spans="2:18" x14ac:dyDescent="0.35">
      <c r="B103" s="4"/>
      <c r="C103" s="4"/>
      <c r="D103" s="44"/>
      <c r="E103" s="51"/>
      <c r="F103" s="51"/>
      <c r="G103" s="51"/>
      <c r="H103" s="51"/>
      <c r="J103" s="51"/>
      <c r="K103" s="51"/>
      <c r="L103" s="51"/>
      <c r="M103" s="51"/>
      <c r="N103" s="51"/>
      <c r="P103" s="51"/>
      <c r="Q103" s="51"/>
      <c r="R103" s="51"/>
    </row>
    <row r="104" spans="2:18" x14ac:dyDescent="0.35">
      <c r="B104" s="4"/>
      <c r="C104" s="4"/>
      <c r="D104" s="44"/>
      <c r="E104" s="51"/>
      <c r="F104" s="51"/>
      <c r="G104" s="51"/>
      <c r="H104" s="51"/>
      <c r="J104" s="51"/>
      <c r="K104" s="51"/>
      <c r="L104" s="51"/>
      <c r="M104" s="51"/>
      <c r="N104" s="51"/>
      <c r="P104" s="51"/>
      <c r="Q104" s="51"/>
      <c r="R104" s="51"/>
    </row>
    <row r="105" spans="2:18" x14ac:dyDescent="0.35">
      <c r="B105" s="4"/>
      <c r="C105" s="4"/>
      <c r="D105" s="44"/>
      <c r="E105" s="51"/>
      <c r="F105" s="51"/>
      <c r="G105" s="51"/>
      <c r="H105" s="51"/>
      <c r="J105" s="51"/>
      <c r="K105" s="51"/>
      <c r="L105" s="51"/>
      <c r="M105" s="51"/>
      <c r="N105" s="51"/>
      <c r="P105" s="51"/>
      <c r="Q105" s="51"/>
      <c r="R105" s="51"/>
    </row>
    <row r="106" spans="2:18" x14ac:dyDescent="0.35">
      <c r="B106" s="4"/>
      <c r="C106" s="4"/>
      <c r="D106" s="44"/>
      <c r="E106" s="51"/>
      <c r="F106" s="51"/>
      <c r="G106" s="51"/>
      <c r="H106" s="51"/>
      <c r="J106" s="38"/>
      <c r="K106" s="51"/>
      <c r="L106" s="51"/>
      <c r="M106" s="51"/>
      <c r="N106" s="51"/>
      <c r="P106" s="51"/>
      <c r="Q106" s="51"/>
      <c r="R106" s="51"/>
    </row>
    <row r="107" spans="2:18" x14ac:dyDescent="0.35">
      <c r="B107" s="4"/>
      <c r="C107" s="4"/>
      <c r="D107" s="44"/>
      <c r="E107" s="51"/>
      <c r="F107" s="51"/>
      <c r="G107" s="51"/>
      <c r="H107" s="51"/>
      <c r="J107" s="38"/>
      <c r="K107" s="51"/>
      <c r="L107" s="51"/>
      <c r="M107" s="51"/>
      <c r="N107" s="51"/>
      <c r="P107" s="51"/>
      <c r="Q107" s="51"/>
      <c r="R107" s="51"/>
    </row>
    <row r="108" spans="2:18" x14ac:dyDescent="0.35">
      <c r="B108" s="4"/>
      <c r="C108" s="4"/>
      <c r="D108" s="44"/>
      <c r="E108" s="51"/>
      <c r="F108" s="51"/>
      <c r="G108" s="51"/>
      <c r="H108" s="51"/>
      <c r="J108" s="38"/>
      <c r="K108" s="51"/>
      <c r="L108" s="51"/>
      <c r="M108" s="51"/>
      <c r="N108" s="51"/>
      <c r="P108" s="51"/>
      <c r="Q108" s="51"/>
      <c r="R108" s="51"/>
    </row>
    <row r="109" spans="2:18" x14ac:dyDescent="0.35">
      <c r="B109" s="4"/>
      <c r="C109" s="4"/>
      <c r="D109" s="44"/>
      <c r="E109" s="51"/>
      <c r="F109" s="51"/>
      <c r="G109" s="51"/>
      <c r="H109" s="51"/>
      <c r="J109" s="38"/>
      <c r="K109" s="51"/>
      <c r="L109" s="51"/>
      <c r="M109" s="51"/>
      <c r="N109" s="51"/>
      <c r="P109" s="51"/>
      <c r="Q109" s="51"/>
      <c r="R109" s="51"/>
    </row>
    <row r="110" spans="2:18" x14ac:dyDescent="0.35">
      <c r="B110" s="4"/>
      <c r="C110" s="4"/>
      <c r="D110" s="44"/>
      <c r="E110" s="51"/>
      <c r="F110" s="51"/>
      <c r="G110" s="51"/>
      <c r="H110" s="51"/>
      <c r="J110" s="38"/>
      <c r="K110" s="51"/>
      <c r="L110" s="51"/>
      <c r="M110" s="51"/>
      <c r="N110" s="51"/>
      <c r="P110" s="51"/>
      <c r="Q110" s="51"/>
      <c r="R110" s="51"/>
    </row>
    <row r="111" spans="2:18" x14ac:dyDescent="0.35">
      <c r="B111" s="4"/>
      <c r="C111" s="4"/>
      <c r="D111" s="44"/>
      <c r="E111" s="51"/>
      <c r="F111" s="51"/>
      <c r="G111" s="51"/>
      <c r="H111" s="51"/>
      <c r="J111" s="38"/>
      <c r="K111" s="51"/>
      <c r="L111" s="51"/>
      <c r="M111" s="51"/>
      <c r="N111" s="51"/>
      <c r="Q111" s="51"/>
      <c r="R111" s="51"/>
    </row>
    <row r="112" spans="2:18" x14ac:dyDescent="0.35">
      <c r="B112" s="4"/>
      <c r="C112" s="4"/>
      <c r="D112" s="44"/>
      <c r="E112" s="51"/>
      <c r="F112" s="51"/>
      <c r="G112" s="51"/>
      <c r="H112" s="51"/>
      <c r="J112" s="38"/>
      <c r="K112" s="51"/>
      <c r="L112" s="51"/>
      <c r="M112" s="51"/>
      <c r="N112" s="51"/>
      <c r="Q112" s="51"/>
      <c r="R112" s="51"/>
    </row>
    <row r="113" spans="2:18" x14ac:dyDescent="0.35">
      <c r="B113" s="4"/>
      <c r="C113" s="4"/>
      <c r="D113" s="44"/>
      <c r="E113" s="51"/>
      <c r="F113" s="51"/>
      <c r="G113" s="51"/>
      <c r="H113" s="51"/>
      <c r="J113" s="38"/>
      <c r="K113" s="51"/>
      <c r="L113" s="51"/>
      <c r="M113" s="51"/>
      <c r="N113" s="51"/>
      <c r="Q113" s="51"/>
      <c r="R113" s="51"/>
    </row>
    <row r="114" spans="2:18" x14ac:dyDescent="0.35">
      <c r="B114" s="4"/>
      <c r="C114" s="4"/>
      <c r="D114" s="44"/>
      <c r="E114" s="51"/>
      <c r="F114" s="41"/>
      <c r="G114" s="51"/>
      <c r="H114" s="51"/>
      <c r="J114" s="38"/>
      <c r="K114" s="51"/>
      <c r="L114" s="51"/>
      <c r="M114" s="51"/>
      <c r="N114" s="51"/>
      <c r="Q114" s="51"/>
      <c r="R114" s="51"/>
    </row>
    <row r="115" spans="2:18" x14ac:dyDescent="0.35">
      <c r="B115" s="4"/>
      <c r="C115" s="4"/>
      <c r="D115" s="44"/>
      <c r="E115" s="51"/>
      <c r="F115" s="41"/>
      <c r="G115" s="51"/>
      <c r="H115" s="51"/>
      <c r="J115" s="38"/>
      <c r="K115" s="51"/>
      <c r="L115" s="51"/>
      <c r="M115" s="51"/>
      <c r="N115" s="51"/>
      <c r="Q115" s="51"/>
      <c r="R115" s="51"/>
    </row>
    <row r="116" spans="2:18" x14ac:dyDescent="0.35">
      <c r="B116" s="4"/>
      <c r="C116" s="4"/>
      <c r="D116" s="44"/>
      <c r="E116" s="51"/>
      <c r="F116" s="41"/>
      <c r="G116" s="51"/>
      <c r="H116" s="51"/>
      <c r="J116" s="38"/>
      <c r="K116" s="51"/>
      <c r="L116" s="51"/>
      <c r="M116" s="51"/>
      <c r="N116" s="51"/>
      <c r="Q116" s="51"/>
      <c r="R116" s="51"/>
    </row>
    <row r="117" spans="2:18" x14ac:dyDescent="0.35">
      <c r="B117" s="4"/>
      <c r="C117" s="4"/>
      <c r="D117" s="44"/>
      <c r="E117" s="51"/>
      <c r="F117" s="41"/>
      <c r="G117" s="51"/>
      <c r="H117" s="51"/>
      <c r="J117" s="38"/>
      <c r="K117" s="51"/>
      <c r="L117" s="51"/>
      <c r="M117" s="51"/>
      <c r="N117" s="51"/>
      <c r="Q117" s="51"/>
      <c r="R117" s="51"/>
    </row>
    <row r="118" spans="2:18" x14ac:dyDescent="0.35">
      <c r="B118" s="4"/>
      <c r="C118" s="4"/>
      <c r="D118" s="44"/>
      <c r="E118" s="51"/>
      <c r="F118" s="41"/>
      <c r="G118" s="51"/>
      <c r="H118" s="51"/>
      <c r="J118" s="38"/>
      <c r="K118" s="51"/>
      <c r="L118" s="51"/>
      <c r="M118" s="51"/>
      <c r="N118" s="51"/>
      <c r="Q118" s="51"/>
    </row>
    <row r="119" spans="2:18" x14ac:dyDescent="0.35">
      <c r="B119" s="4"/>
      <c r="C119" s="4"/>
      <c r="D119" s="44"/>
      <c r="E119" s="51"/>
      <c r="F119" s="41"/>
      <c r="G119" s="51"/>
      <c r="H119" s="51"/>
      <c r="J119" s="38"/>
      <c r="K119" s="51"/>
      <c r="L119" s="51"/>
      <c r="M119" s="51"/>
      <c r="N119" s="51"/>
      <c r="Q119" s="51"/>
    </row>
    <row r="120" spans="2:18" x14ac:dyDescent="0.35">
      <c r="B120" s="4"/>
      <c r="C120" s="4"/>
      <c r="D120" s="44"/>
      <c r="E120" s="51"/>
      <c r="F120" s="41"/>
      <c r="G120" s="51"/>
      <c r="H120" s="51"/>
      <c r="J120" s="38"/>
      <c r="K120" s="51"/>
      <c r="L120" s="51"/>
      <c r="M120" s="51"/>
      <c r="N120" s="51"/>
      <c r="Q120" s="51"/>
    </row>
    <row r="121" spans="2:18" x14ac:dyDescent="0.35">
      <c r="B121" s="4"/>
      <c r="C121" s="4"/>
      <c r="D121" s="44"/>
      <c r="E121" s="51"/>
      <c r="F121" s="41"/>
      <c r="G121" s="51"/>
      <c r="H121" s="51"/>
      <c r="J121" s="38"/>
      <c r="K121" s="51"/>
      <c r="L121" s="51"/>
      <c r="M121" s="51"/>
      <c r="N121" s="51"/>
      <c r="Q121" s="51"/>
    </row>
    <row r="122" spans="2:18" x14ac:dyDescent="0.35">
      <c r="B122" s="4"/>
      <c r="C122" s="4"/>
      <c r="D122" s="44"/>
      <c r="E122" s="51"/>
      <c r="F122" s="41"/>
      <c r="G122" s="51"/>
      <c r="H122" s="51"/>
      <c r="J122" s="38"/>
      <c r="K122" s="51"/>
      <c r="L122" s="51"/>
      <c r="M122" s="51"/>
      <c r="N122" s="51"/>
      <c r="Q122" s="51"/>
    </row>
    <row r="123" spans="2:18" x14ac:dyDescent="0.35">
      <c r="B123" s="4"/>
      <c r="C123" s="4"/>
      <c r="D123" s="44"/>
      <c r="E123" s="51"/>
      <c r="F123" s="41"/>
      <c r="G123" s="51"/>
      <c r="H123" s="51"/>
      <c r="J123" s="38"/>
      <c r="K123" s="51"/>
      <c r="L123" s="51"/>
      <c r="M123" s="51"/>
      <c r="N123" s="51"/>
      <c r="Q123" s="51"/>
    </row>
    <row r="124" spans="2:18" x14ac:dyDescent="0.35">
      <c r="B124" s="4"/>
      <c r="C124" s="4"/>
      <c r="D124" s="44"/>
      <c r="E124" s="51"/>
      <c r="F124" s="41"/>
      <c r="G124" s="51"/>
      <c r="H124" s="51"/>
      <c r="J124" s="38"/>
      <c r="K124" s="51"/>
      <c r="L124" s="51"/>
      <c r="M124" s="51"/>
      <c r="N124" s="51"/>
      <c r="Q124" s="51"/>
    </row>
    <row r="125" spans="2:18" x14ac:dyDescent="0.35">
      <c r="B125" s="4"/>
      <c r="C125" s="4"/>
      <c r="D125" s="44"/>
      <c r="E125" s="51"/>
      <c r="F125" s="41"/>
      <c r="G125" s="51"/>
      <c r="H125" s="51"/>
      <c r="J125" s="38"/>
      <c r="K125" s="51"/>
      <c r="L125" s="51"/>
      <c r="M125" s="51"/>
      <c r="N125" s="51"/>
      <c r="Q125" s="51"/>
    </row>
    <row r="126" spans="2:18" x14ac:dyDescent="0.35">
      <c r="B126" s="4"/>
      <c r="C126" s="4"/>
      <c r="D126" s="44"/>
      <c r="E126" s="51"/>
      <c r="F126" s="41"/>
      <c r="G126" s="51"/>
      <c r="H126" s="51"/>
      <c r="J126" s="38"/>
      <c r="K126" s="51"/>
      <c r="L126" s="51"/>
      <c r="M126" s="51"/>
      <c r="N126" s="51"/>
      <c r="Q126" s="51"/>
    </row>
    <row r="127" spans="2:18" x14ac:dyDescent="0.35">
      <c r="B127" s="4"/>
      <c r="C127" s="4"/>
      <c r="D127" s="44"/>
      <c r="E127" s="51"/>
      <c r="F127" s="41"/>
      <c r="G127" s="51"/>
      <c r="H127" s="51"/>
      <c r="J127" s="38"/>
      <c r="K127" s="51"/>
      <c r="L127" s="51"/>
      <c r="M127" s="51"/>
      <c r="N127" s="51"/>
      <c r="Q127" s="51"/>
    </row>
    <row r="128" spans="2:18" x14ac:dyDescent="0.35">
      <c r="B128" s="4"/>
      <c r="C128" s="4"/>
      <c r="D128" s="44"/>
      <c r="E128" s="51"/>
      <c r="F128" s="41"/>
      <c r="G128" s="51"/>
      <c r="H128" s="51"/>
      <c r="J128" s="38"/>
      <c r="K128" s="51"/>
      <c r="L128" s="51"/>
      <c r="M128" s="51"/>
      <c r="N128" s="51"/>
      <c r="Q128" s="51"/>
    </row>
    <row r="129" spans="2:17" x14ac:dyDescent="0.35">
      <c r="B129" s="4"/>
      <c r="C129" s="4"/>
      <c r="D129" s="44"/>
      <c r="E129" s="51"/>
      <c r="F129" s="41"/>
      <c r="G129" s="51"/>
      <c r="H129" s="51"/>
      <c r="J129" s="38"/>
      <c r="K129" s="51"/>
      <c r="L129" s="51"/>
      <c r="M129" s="51"/>
      <c r="N129" s="51"/>
      <c r="Q129" s="51"/>
    </row>
    <row r="130" spans="2:17" x14ac:dyDescent="0.35">
      <c r="B130" s="4"/>
      <c r="C130" s="4"/>
      <c r="D130" s="44"/>
      <c r="E130" s="51"/>
      <c r="F130" s="41"/>
      <c r="G130" s="51"/>
      <c r="H130" s="51"/>
      <c r="J130" s="38"/>
      <c r="K130" s="51"/>
      <c r="L130" s="51"/>
      <c r="M130" s="51"/>
      <c r="N130" s="51"/>
      <c r="Q130" s="51"/>
    </row>
    <row r="131" spans="2:17" x14ac:dyDescent="0.35">
      <c r="B131" s="4"/>
      <c r="C131" s="4"/>
      <c r="D131" s="44"/>
      <c r="E131" s="51"/>
      <c r="F131" s="41"/>
      <c r="G131" s="51"/>
      <c r="H131" s="51"/>
      <c r="J131" s="38"/>
      <c r="K131" s="51"/>
      <c r="L131" s="51"/>
      <c r="M131" s="51"/>
      <c r="N131" s="51"/>
      <c r="Q131" s="51"/>
    </row>
    <row r="132" spans="2:17" x14ac:dyDescent="0.35">
      <c r="B132" s="4"/>
      <c r="C132" s="4"/>
      <c r="D132" s="44"/>
      <c r="E132" s="51"/>
      <c r="F132" s="41"/>
      <c r="G132" s="51"/>
      <c r="H132" s="51"/>
      <c r="J132" s="38"/>
      <c r="K132" s="51"/>
      <c r="L132" s="51"/>
      <c r="M132" s="51"/>
      <c r="N132" s="51"/>
      <c r="Q132" s="51"/>
    </row>
    <row r="133" spans="2:17" x14ac:dyDescent="0.35">
      <c r="B133" s="4"/>
      <c r="C133" s="4"/>
      <c r="D133" s="44"/>
      <c r="E133" s="51"/>
      <c r="F133" s="41"/>
      <c r="G133" s="51"/>
      <c r="H133" s="51"/>
      <c r="J133" s="38"/>
      <c r="K133" s="51"/>
      <c r="L133" s="51"/>
      <c r="M133" s="51"/>
      <c r="N133" s="51"/>
      <c r="Q133" s="51"/>
    </row>
    <row r="134" spans="2:17" x14ac:dyDescent="0.35">
      <c r="B134" s="4"/>
      <c r="C134" s="4"/>
      <c r="D134" s="44"/>
      <c r="E134" s="51"/>
      <c r="F134" s="41"/>
      <c r="G134" s="51"/>
      <c r="H134" s="51"/>
      <c r="J134" s="38"/>
      <c r="K134" s="51"/>
      <c r="L134" s="51"/>
      <c r="M134" s="51"/>
      <c r="N134" s="51"/>
      <c r="Q134" s="51"/>
    </row>
    <row r="135" spans="2:17" x14ac:dyDescent="0.35">
      <c r="B135" s="4"/>
      <c r="C135" s="4"/>
      <c r="D135" s="44"/>
      <c r="E135" s="51"/>
      <c r="F135" s="41"/>
      <c r="G135" s="51"/>
      <c r="H135" s="51"/>
      <c r="J135" s="38"/>
      <c r="K135" s="51"/>
      <c r="L135" s="51"/>
      <c r="M135" s="51"/>
      <c r="N135" s="51"/>
      <c r="Q135" s="51"/>
    </row>
    <row r="136" spans="2:17" x14ac:dyDescent="0.35">
      <c r="B136" s="4"/>
      <c r="C136" s="4"/>
      <c r="D136" s="44"/>
      <c r="E136" s="51"/>
      <c r="F136" s="41"/>
      <c r="G136" s="51"/>
      <c r="H136" s="51"/>
      <c r="J136" s="38"/>
      <c r="K136" s="51"/>
      <c r="L136" s="51"/>
      <c r="M136" s="51"/>
      <c r="N136" s="51"/>
      <c r="Q136" s="51"/>
    </row>
    <row r="137" spans="2:17" x14ac:dyDescent="0.35">
      <c r="B137" s="4"/>
      <c r="C137" s="4"/>
      <c r="D137" s="44"/>
      <c r="E137" s="51"/>
      <c r="F137" s="41"/>
      <c r="G137" s="51"/>
      <c r="H137" s="51"/>
      <c r="J137" s="38"/>
      <c r="K137" s="51"/>
      <c r="L137" s="51"/>
      <c r="M137" s="51"/>
      <c r="N137" s="51"/>
      <c r="Q137" s="51"/>
    </row>
    <row r="138" spans="2:17" x14ac:dyDescent="0.35">
      <c r="B138" s="4"/>
      <c r="C138" s="4"/>
      <c r="D138" s="44"/>
      <c r="E138" s="51"/>
      <c r="F138" s="41"/>
      <c r="G138" s="51"/>
      <c r="H138" s="51"/>
      <c r="J138" s="38"/>
      <c r="K138" s="51"/>
      <c r="L138" s="51"/>
      <c r="M138" s="51"/>
      <c r="N138" s="51"/>
      <c r="Q138" s="51"/>
    </row>
    <row r="139" spans="2:17" x14ac:dyDescent="0.35">
      <c r="B139" s="4"/>
      <c r="C139" s="4"/>
      <c r="D139" s="44"/>
      <c r="E139" s="51"/>
      <c r="F139" s="41"/>
      <c r="G139" s="51"/>
      <c r="H139" s="51"/>
      <c r="J139" s="38"/>
      <c r="K139" s="51"/>
      <c r="L139" s="51"/>
      <c r="M139" s="51"/>
      <c r="N139" s="51"/>
      <c r="Q139" s="51"/>
    </row>
    <row r="140" spans="2:17" x14ac:dyDescent="0.35">
      <c r="B140" s="4"/>
      <c r="C140" s="4"/>
      <c r="D140" s="44"/>
      <c r="E140" s="51"/>
      <c r="F140" s="41"/>
      <c r="G140" s="51"/>
      <c r="H140" s="51"/>
      <c r="J140" s="38"/>
      <c r="K140" s="51"/>
      <c r="L140" s="51"/>
      <c r="M140" s="51"/>
      <c r="N140" s="51"/>
      <c r="Q140" s="51"/>
    </row>
    <row r="141" spans="2:17" x14ac:dyDescent="0.35">
      <c r="B141" s="4"/>
      <c r="C141" s="4"/>
      <c r="D141" s="44"/>
      <c r="E141" s="51"/>
      <c r="F141" s="41"/>
      <c r="G141" s="51"/>
      <c r="H141" s="51"/>
      <c r="J141" s="38"/>
      <c r="K141" s="51"/>
      <c r="L141" s="51"/>
      <c r="M141" s="51"/>
      <c r="N141" s="51"/>
    </row>
    <row r="142" spans="2:17" x14ac:dyDescent="0.35">
      <c r="B142" s="4"/>
      <c r="C142" s="4"/>
      <c r="D142" s="44"/>
      <c r="E142" s="51"/>
      <c r="F142" s="41"/>
      <c r="G142" s="51"/>
      <c r="H142" s="51"/>
      <c r="J142" s="38"/>
      <c r="K142" s="51"/>
      <c r="L142" s="51"/>
      <c r="M142" s="51"/>
      <c r="N142" s="51"/>
    </row>
    <row r="143" spans="2:17" x14ac:dyDescent="0.35">
      <c r="B143" s="4"/>
      <c r="C143" s="4"/>
      <c r="D143" s="44"/>
      <c r="E143" s="51"/>
      <c r="F143" s="41"/>
      <c r="G143" s="51"/>
      <c r="H143" s="51"/>
      <c r="J143" s="38"/>
      <c r="K143" s="51"/>
      <c r="L143" s="51"/>
      <c r="M143" s="51"/>
      <c r="N143" s="51"/>
    </row>
    <row r="144" spans="2:17" x14ac:dyDescent="0.35">
      <c r="B144" s="4"/>
      <c r="C144" s="4"/>
      <c r="D144" s="44"/>
      <c r="E144" s="51"/>
      <c r="F144" s="41"/>
      <c r="G144" s="51"/>
      <c r="H144" s="51"/>
      <c r="J144" s="38"/>
      <c r="K144" s="51"/>
      <c r="L144" s="51"/>
      <c r="M144" s="51"/>
      <c r="N144" s="51"/>
    </row>
    <row r="145" spans="2:14" x14ac:dyDescent="0.35">
      <c r="B145" s="4"/>
      <c r="C145" s="4"/>
      <c r="D145" s="44"/>
      <c r="E145" s="51"/>
      <c r="F145" s="41"/>
      <c r="G145" s="51"/>
      <c r="H145" s="51"/>
      <c r="J145" s="38"/>
      <c r="K145" s="51"/>
      <c r="L145" s="51"/>
      <c r="M145" s="51"/>
      <c r="N145" s="51"/>
    </row>
    <row r="146" spans="2:14" x14ac:dyDescent="0.35">
      <c r="B146" s="4"/>
      <c r="C146" s="4"/>
      <c r="D146" s="44"/>
      <c r="E146" s="51"/>
      <c r="F146" s="41"/>
      <c r="G146" s="51"/>
      <c r="H146" s="51"/>
      <c r="J146" s="38"/>
      <c r="K146" s="51"/>
      <c r="L146" s="51"/>
      <c r="M146" s="51"/>
      <c r="N146" s="51"/>
    </row>
    <row r="147" spans="2:14" x14ac:dyDescent="0.35">
      <c r="B147" s="4"/>
      <c r="C147" s="4"/>
      <c r="D147" s="44"/>
      <c r="E147" s="51"/>
      <c r="F147" s="41"/>
      <c r="G147" s="51"/>
      <c r="H147" s="51"/>
      <c r="J147" s="38"/>
      <c r="K147" s="51"/>
      <c r="L147" s="51"/>
      <c r="M147" s="51"/>
      <c r="N147" s="51"/>
    </row>
    <row r="148" spans="2:14" x14ac:dyDescent="0.35">
      <c r="B148" s="4"/>
      <c r="C148" s="4"/>
      <c r="D148" s="44"/>
      <c r="E148" s="51"/>
      <c r="F148" s="41"/>
      <c r="G148" s="51"/>
      <c r="H148" s="51"/>
      <c r="J148" s="38"/>
      <c r="K148" s="51"/>
      <c r="L148" s="51"/>
      <c r="M148" s="51"/>
      <c r="N148" s="51"/>
    </row>
    <row r="149" spans="2:14" x14ac:dyDescent="0.35">
      <c r="B149" s="4"/>
      <c r="C149" s="4"/>
      <c r="D149" s="44"/>
      <c r="E149" s="51"/>
      <c r="F149" s="41"/>
      <c r="G149" s="51"/>
      <c r="H149" s="51"/>
      <c r="J149" s="38"/>
      <c r="K149" s="51"/>
      <c r="L149" s="51"/>
      <c r="M149" s="51"/>
      <c r="N149" s="51"/>
    </row>
    <row r="150" spans="2:14" x14ac:dyDescent="0.35">
      <c r="B150" s="4"/>
      <c r="C150" s="4"/>
      <c r="D150" s="44"/>
      <c r="E150" s="51"/>
      <c r="F150" s="41"/>
      <c r="G150" s="51"/>
      <c r="H150" s="51"/>
      <c r="J150" s="38"/>
      <c r="K150" s="51"/>
      <c r="L150" s="51"/>
      <c r="M150" s="51"/>
      <c r="N150" s="51"/>
    </row>
    <row r="151" spans="2:14" x14ac:dyDescent="0.35">
      <c r="B151" s="4"/>
      <c r="C151" s="4"/>
      <c r="D151" s="44"/>
      <c r="E151" s="51"/>
      <c r="F151" s="41"/>
      <c r="G151" s="51"/>
      <c r="H151" s="51"/>
      <c r="J151" s="38"/>
      <c r="K151" s="51"/>
      <c r="L151" s="51"/>
      <c r="M151" s="51"/>
      <c r="N151" s="51"/>
    </row>
    <row r="152" spans="2:14" x14ac:dyDescent="0.35">
      <c r="B152" s="4"/>
      <c r="C152" s="4"/>
      <c r="D152" s="44"/>
      <c r="E152" s="51"/>
      <c r="F152" s="41"/>
      <c r="G152" s="51"/>
      <c r="H152" s="51"/>
      <c r="J152" s="38"/>
      <c r="K152" s="51"/>
      <c r="L152" s="51"/>
      <c r="M152" s="51"/>
      <c r="N152" s="51"/>
    </row>
    <row r="153" spans="2:14" x14ac:dyDescent="0.35">
      <c r="B153" s="4"/>
      <c r="C153" s="4"/>
      <c r="D153" s="44"/>
      <c r="E153" s="51"/>
      <c r="F153" s="41"/>
      <c r="G153" s="51"/>
      <c r="H153" s="51"/>
      <c r="J153" s="38"/>
      <c r="K153" s="51"/>
      <c r="L153" s="51"/>
      <c r="M153" s="51"/>
      <c r="N153" s="51"/>
    </row>
    <row r="154" spans="2:14" x14ac:dyDescent="0.35">
      <c r="B154" s="4"/>
      <c r="C154" s="4"/>
      <c r="D154" s="44"/>
      <c r="E154" s="51"/>
      <c r="F154" s="41"/>
      <c r="G154" s="51"/>
      <c r="H154" s="51"/>
      <c r="J154" s="38"/>
      <c r="K154" s="51"/>
      <c r="L154" s="51"/>
      <c r="M154" s="51"/>
      <c r="N154" s="51"/>
    </row>
    <row r="155" spans="2:14" x14ac:dyDescent="0.35">
      <c r="B155" s="4"/>
      <c r="C155" s="4"/>
      <c r="D155" s="44"/>
      <c r="E155" s="51"/>
      <c r="F155" s="41"/>
      <c r="G155" s="51"/>
      <c r="H155" s="51"/>
      <c r="J155" s="38"/>
      <c r="K155" s="51"/>
      <c r="L155" s="51"/>
      <c r="M155" s="51"/>
    </row>
    <row r="156" spans="2:14" x14ac:dyDescent="0.35">
      <c r="B156" s="4"/>
      <c r="C156" s="4"/>
      <c r="D156" s="44"/>
      <c r="E156" s="51"/>
      <c r="F156" s="41"/>
      <c r="G156" s="51"/>
      <c r="H156" s="51"/>
      <c r="J156" s="38"/>
      <c r="K156" s="51"/>
      <c r="L156" s="51"/>
      <c r="M156" s="51"/>
    </row>
    <row r="157" spans="2:14" x14ac:dyDescent="0.35">
      <c r="B157" s="4"/>
      <c r="C157" s="4"/>
      <c r="D157" s="44"/>
      <c r="E157" s="51"/>
      <c r="F157" s="41"/>
      <c r="G157" s="51"/>
      <c r="H157" s="51"/>
      <c r="J157" s="38"/>
      <c r="K157" s="51"/>
      <c r="L157" s="51"/>
      <c r="M157" s="51"/>
    </row>
    <row r="158" spans="2:14" x14ac:dyDescent="0.35">
      <c r="B158" s="4"/>
      <c r="C158" s="4"/>
      <c r="D158" s="44"/>
      <c r="E158" s="51"/>
      <c r="F158" s="41"/>
      <c r="G158" s="51"/>
      <c r="H158" s="51"/>
      <c r="J158" s="38"/>
      <c r="K158" s="51"/>
      <c r="L158" s="51"/>
      <c r="M158" s="51"/>
    </row>
    <row r="159" spans="2:14" x14ac:dyDescent="0.35">
      <c r="B159" s="4"/>
      <c r="C159" s="4"/>
      <c r="D159" s="44"/>
      <c r="E159" s="51"/>
      <c r="F159" s="41"/>
      <c r="G159" s="51"/>
      <c r="H159" s="51"/>
      <c r="J159" s="38"/>
      <c r="K159" s="51"/>
      <c r="L159" s="51"/>
      <c r="M159" s="51"/>
    </row>
    <row r="160" spans="2:14" x14ac:dyDescent="0.35">
      <c r="B160" s="4"/>
      <c r="C160" s="4"/>
      <c r="D160" s="44"/>
      <c r="F160" s="41"/>
      <c r="G160" s="51"/>
      <c r="H160" s="51"/>
      <c r="J160" s="38"/>
      <c r="K160" s="51"/>
      <c r="L160" s="51"/>
      <c r="M160" s="51"/>
    </row>
    <row r="161" spans="2:13" x14ac:dyDescent="0.35">
      <c r="B161" s="4"/>
      <c r="C161" s="4"/>
      <c r="D161" s="44"/>
      <c r="E161" s="41"/>
      <c r="F161" s="41"/>
      <c r="G161" s="51"/>
      <c r="H161" s="51"/>
      <c r="J161" s="38"/>
      <c r="K161" s="51"/>
      <c r="L161" s="51"/>
      <c r="M161" s="51"/>
    </row>
    <row r="162" spans="2:13" x14ac:dyDescent="0.35">
      <c r="B162" s="4"/>
      <c r="C162" s="4"/>
      <c r="D162" s="44"/>
      <c r="E162" s="41"/>
      <c r="F162" s="41"/>
      <c r="G162" s="51"/>
      <c r="H162" s="51"/>
      <c r="J162" s="38"/>
      <c r="K162" s="51"/>
      <c r="L162" s="51"/>
      <c r="M162" s="51"/>
    </row>
    <row r="163" spans="2:13" x14ac:dyDescent="0.35">
      <c r="B163" s="4"/>
      <c r="C163" s="4"/>
      <c r="D163" s="44"/>
      <c r="E163" s="41"/>
      <c r="F163" s="41"/>
      <c r="G163" s="51"/>
      <c r="H163" s="51"/>
      <c r="J163" s="38"/>
      <c r="L163" s="51"/>
      <c r="M163" s="51"/>
    </row>
    <row r="164" spans="2:13" x14ac:dyDescent="0.35">
      <c r="B164" s="4"/>
      <c r="C164" s="4"/>
      <c r="D164" s="44"/>
      <c r="E164" s="41"/>
      <c r="F164" s="41"/>
      <c r="G164" s="51"/>
      <c r="H164" s="51"/>
      <c r="J164" s="38"/>
      <c r="L164" s="51"/>
      <c r="M164" s="51"/>
    </row>
    <row r="165" spans="2:13" x14ac:dyDescent="0.35">
      <c r="B165" s="4"/>
      <c r="C165" s="4"/>
      <c r="D165" s="44"/>
      <c r="E165" s="41"/>
      <c r="F165" s="41"/>
      <c r="G165" s="51"/>
      <c r="H165" s="51"/>
      <c r="J165" s="38"/>
      <c r="L165" s="51"/>
      <c r="M165" s="51"/>
    </row>
    <row r="166" spans="2:13" x14ac:dyDescent="0.35">
      <c r="B166" s="4"/>
      <c r="C166" s="4"/>
      <c r="D166" s="44"/>
      <c r="E166" s="41"/>
      <c r="F166" s="41"/>
      <c r="G166" s="51"/>
      <c r="H166" s="51"/>
      <c r="J166" s="38"/>
      <c r="L166" s="51"/>
      <c r="M166" s="51"/>
    </row>
    <row r="167" spans="2:13" x14ac:dyDescent="0.35">
      <c r="B167" s="4"/>
      <c r="C167" s="4"/>
      <c r="D167" s="44"/>
      <c r="E167" s="41"/>
      <c r="F167" s="41"/>
      <c r="G167" s="51"/>
      <c r="H167" s="51"/>
      <c r="J167" s="38"/>
      <c r="L167" s="51"/>
      <c r="M167" s="51"/>
    </row>
    <row r="168" spans="2:13" x14ac:dyDescent="0.35">
      <c r="B168" s="4"/>
      <c r="C168" s="4"/>
      <c r="D168" s="44"/>
      <c r="E168" s="41"/>
      <c r="F168" s="41"/>
      <c r="G168" s="51"/>
      <c r="H168" s="51"/>
      <c r="J168" s="38"/>
      <c r="L168" s="51"/>
      <c r="M168" s="51"/>
    </row>
    <row r="169" spans="2:13" x14ac:dyDescent="0.35">
      <c r="B169" s="4"/>
      <c r="C169" s="4"/>
      <c r="D169" s="44"/>
      <c r="E169" s="41"/>
      <c r="F169" s="41"/>
      <c r="G169" s="51"/>
      <c r="H169" s="51"/>
      <c r="J169" s="38"/>
      <c r="L169" s="51"/>
      <c r="M169" s="51"/>
    </row>
    <row r="170" spans="2:13" x14ac:dyDescent="0.35">
      <c r="B170" s="4"/>
      <c r="C170" s="4"/>
      <c r="D170" s="44"/>
      <c r="E170" s="41"/>
      <c r="F170" s="41"/>
      <c r="G170" s="51"/>
      <c r="H170" s="51"/>
      <c r="J170" s="38"/>
      <c r="L170" s="51"/>
      <c r="M170" s="51"/>
    </row>
    <row r="171" spans="2:13" x14ac:dyDescent="0.35">
      <c r="B171" s="4"/>
      <c r="C171" s="4"/>
      <c r="D171" s="44"/>
      <c r="E171" s="41"/>
      <c r="F171" s="41"/>
      <c r="G171" s="51"/>
      <c r="H171" s="51"/>
      <c r="J171" s="38"/>
      <c r="L171" s="51"/>
      <c r="M171" s="51"/>
    </row>
    <row r="172" spans="2:13" x14ac:dyDescent="0.35">
      <c r="B172" s="4"/>
      <c r="C172" s="4"/>
      <c r="D172" s="44"/>
      <c r="E172" s="41"/>
      <c r="F172" s="41"/>
      <c r="G172" s="51"/>
      <c r="H172" s="51"/>
      <c r="J172" s="38"/>
      <c r="L172" s="51"/>
      <c r="M172" s="51"/>
    </row>
    <row r="173" spans="2:13" x14ac:dyDescent="0.35">
      <c r="B173" s="4"/>
      <c r="C173" s="4"/>
      <c r="D173" s="44"/>
      <c r="E173" s="41"/>
      <c r="F173" s="41"/>
      <c r="G173" s="51"/>
      <c r="H173" s="51"/>
      <c r="J173" s="38"/>
      <c r="L173" s="51"/>
      <c r="M173" s="51"/>
    </row>
    <row r="174" spans="2:13" x14ac:dyDescent="0.35">
      <c r="B174" s="4"/>
      <c r="C174" s="4"/>
      <c r="D174" s="44"/>
      <c r="E174" s="41"/>
      <c r="F174" s="41"/>
      <c r="G174" s="51"/>
      <c r="H174" s="51"/>
      <c r="J174" s="38"/>
      <c r="M174" s="51"/>
    </row>
    <row r="175" spans="2:13" x14ac:dyDescent="0.35">
      <c r="B175" s="4"/>
      <c r="C175" s="4"/>
      <c r="D175" s="44"/>
      <c r="E175" s="41"/>
      <c r="F175" s="41"/>
      <c r="G175" s="51"/>
      <c r="H175" s="51"/>
      <c r="J175" s="38"/>
      <c r="M175" s="51"/>
    </row>
    <row r="176" spans="2:13" x14ac:dyDescent="0.35">
      <c r="B176" s="4"/>
      <c r="C176" s="4"/>
      <c r="D176" s="44"/>
      <c r="E176" s="41"/>
      <c r="F176" s="41"/>
      <c r="G176" s="51"/>
      <c r="H176" s="51"/>
      <c r="J176" s="38"/>
      <c r="M176" s="51"/>
    </row>
    <row r="177" spans="2:13" x14ac:dyDescent="0.35">
      <c r="B177" s="4"/>
      <c r="C177" s="4"/>
      <c r="D177" s="44"/>
      <c r="E177" s="41"/>
      <c r="F177" s="41"/>
      <c r="G177" s="51"/>
      <c r="H177" s="51"/>
      <c r="J177" s="38"/>
      <c r="M177" s="51"/>
    </row>
    <row r="178" spans="2:13" x14ac:dyDescent="0.35">
      <c r="B178" s="4"/>
      <c r="C178" s="4"/>
      <c r="D178" s="44"/>
      <c r="E178" s="41"/>
      <c r="F178" s="41"/>
      <c r="G178" s="51"/>
      <c r="H178" s="51"/>
      <c r="J178" s="38"/>
      <c r="M178" s="51"/>
    </row>
    <row r="179" spans="2:13" x14ac:dyDescent="0.35">
      <c r="B179" s="4"/>
      <c r="C179" s="4"/>
      <c r="D179" s="44"/>
      <c r="E179" s="41"/>
      <c r="F179" s="41"/>
      <c r="G179" s="51"/>
      <c r="H179" s="51"/>
      <c r="J179" s="38"/>
      <c r="M179" s="51"/>
    </row>
    <row r="180" spans="2:13" x14ac:dyDescent="0.35">
      <c r="B180" s="4"/>
      <c r="C180" s="4"/>
      <c r="D180" s="44"/>
      <c r="E180" s="41"/>
      <c r="F180" s="41"/>
      <c r="G180" s="51"/>
      <c r="H180" s="51"/>
      <c r="J180" s="38"/>
      <c r="M180" s="51"/>
    </row>
    <row r="181" spans="2:13" x14ac:dyDescent="0.35">
      <c r="B181" s="4"/>
      <c r="C181" s="4"/>
      <c r="D181" s="44"/>
      <c r="E181" s="41"/>
      <c r="F181" s="41"/>
      <c r="G181" s="51"/>
      <c r="H181" s="51"/>
      <c r="J181" s="38"/>
      <c r="M181" s="51"/>
    </row>
    <row r="182" spans="2:13" x14ac:dyDescent="0.35">
      <c r="B182" s="4"/>
      <c r="C182" s="4"/>
      <c r="D182" s="44"/>
      <c r="E182" s="41"/>
      <c r="F182" s="41"/>
      <c r="G182" s="51"/>
      <c r="H182" s="51"/>
      <c r="J182" s="38"/>
      <c r="M182" s="51"/>
    </row>
    <row r="183" spans="2:13" x14ac:dyDescent="0.35">
      <c r="B183" s="4"/>
      <c r="C183" s="4"/>
      <c r="D183" s="44"/>
      <c r="E183" s="41"/>
      <c r="F183" s="41"/>
      <c r="G183" s="51"/>
      <c r="H183" s="51"/>
      <c r="J183" s="38"/>
      <c r="M183" s="51"/>
    </row>
    <row r="184" spans="2:13" x14ac:dyDescent="0.35">
      <c r="B184" s="4"/>
      <c r="C184" s="4"/>
      <c r="D184" s="44"/>
      <c r="E184" s="41"/>
      <c r="F184" s="41"/>
      <c r="G184" s="51"/>
      <c r="H184" s="51"/>
      <c r="J184" s="38"/>
      <c r="M184" s="51"/>
    </row>
    <row r="185" spans="2:13" x14ac:dyDescent="0.35">
      <c r="B185" s="4"/>
      <c r="C185" s="4"/>
      <c r="D185" s="44"/>
      <c r="E185" s="41"/>
      <c r="F185" s="41"/>
      <c r="G185" s="51"/>
      <c r="H185" s="51"/>
      <c r="J185" s="38"/>
      <c r="M185" s="51"/>
    </row>
    <row r="186" spans="2:13" x14ac:dyDescent="0.35">
      <c r="B186" s="4"/>
      <c r="C186" s="4"/>
      <c r="D186" s="44"/>
      <c r="E186" s="41"/>
      <c r="F186" s="41"/>
      <c r="G186" s="51"/>
      <c r="H186" s="51"/>
      <c r="J186" s="38"/>
      <c r="M186" s="51"/>
    </row>
    <row r="187" spans="2:13" x14ac:dyDescent="0.35">
      <c r="B187" s="4"/>
      <c r="C187" s="4"/>
      <c r="D187" s="44"/>
      <c r="E187" s="41"/>
      <c r="F187" s="41"/>
      <c r="G187" s="51"/>
      <c r="H187" s="51"/>
      <c r="J187" s="38"/>
    </row>
    <row r="188" spans="2:13" x14ac:dyDescent="0.35">
      <c r="B188" s="4"/>
      <c r="C188" s="4"/>
      <c r="D188" s="44"/>
      <c r="E188" s="41"/>
      <c r="F188" s="41"/>
      <c r="G188" s="51"/>
      <c r="H188" s="51"/>
      <c r="J188" s="38"/>
    </row>
    <row r="189" spans="2:13" x14ac:dyDescent="0.35">
      <c r="B189" s="4"/>
      <c r="C189" s="4"/>
      <c r="D189" s="44"/>
      <c r="E189" s="41"/>
      <c r="F189" s="41"/>
      <c r="G189" s="51"/>
      <c r="H189" s="51"/>
      <c r="J189" s="38"/>
    </row>
    <row r="190" spans="2:13" x14ac:dyDescent="0.35">
      <c r="B190" s="4"/>
      <c r="C190" s="4"/>
      <c r="D190" s="44"/>
      <c r="E190" s="41"/>
      <c r="F190" s="41"/>
      <c r="G190" s="51"/>
      <c r="H190" s="51"/>
      <c r="J190" s="38"/>
    </row>
    <row r="191" spans="2:13" x14ac:dyDescent="0.35">
      <c r="B191" s="4"/>
      <c r="C191" s="4"/>
      <c r="D191" s="44"/>
      <c r="E191" s="41"/>
      <c r="F191" s="41"/>
      <c r="G191" s="51"/>
      <c r="H191" s="51"/>
      <c r="J191" s="38"/>
    </row>
    <row r="192" spans="2:13" x14ac:dyDescent="0.35">
      <c r="B192" s="4"/>
      <c r="C192" s="4"/>
      <c r="D192" s="44"/>
      <c r="E192" s="41"/>
      <c r="F192" s="41"/>
      <c r="G192" s="51"/>
      <c r="H192" s="51"/>
      <c r="J192" s="38"/>
    </row>
    <row r="193" spans="2:10" x14ac:dyDescent="0.35">
      <c r="B193" s="4"/>
      <c r="C193" s="4"/>
      <c r="D193" s="44"/>
      <c r="E193" s="41"/>
      <c r="F193" s="41"/>
      <c r="G193" s="51"/>
      <c r="H193" s="51"/>
      <c r="J193" s="38"/>
    </row>
    <row r="194" spans="2:10" x14ac:dyDescent="0.35">
      <c r="B194" s="4"/>
      <c r="C194" s="4"/>
      <c r="D194" s="44"/>
      <c r="E194" s="41"/>
      <c r="F194" s="41"/>
      <c r="G194" s="51"/>
      <c r="H194" s="51"/>
      <c r="J194" s="38"/>
    </row>
    <row r="195" spans="2:10" x14ac:dyDescent="0.35">
      <c r="B195" s="4"/>
      <c r="C195" s="4"/>
      <c r="D195" s="44"/>
      <c r="E195" s="41"/>
      <c r="F195" s="41"/>
      <c r="G195" s="51"/>
      <c r="H195" s="51"/>
      <c r="J195" s="38"/>
    </row>
    <row r="196" spans="2:10" x14ac:dyDescent="0.35">
      <c r="B196" s="4"/>
      <c r="C196" s="4"/>
      <c r="D196" s="44"/>
      <c r="E196" s="41"/>
      <c r="F196" s="41"/>
      <c r="G196" s="51"/>
      <c r="H196" s="51"/>
      <c r="J196" s="38"/>
    </row>
    <row r="197" spans="2:10" x14ac:dyDescent="0.35">
      <c r="B197" s="4"/>
      <c r="C197" s="4"/>
      <c r="D197" s="44"/>
      <c r="E197" s="41"/>
      <c r="F197" s="41"/>
      <c r="G197" s="51"/>
      <c r="H197" s="51"/>
      <c r="J197" s="38"/>
    </row>
    <row r="198" spans="2:10" x14ac:dyDescent="0.35">
      <c r="B198" s="4"/>
      <c r="C198" s="4"/>
      <c r="D198" s="44"/>
      <c r="E198" s="41"/>
      <c r="F198" s="41"/>
      <c r="G198" s="51"/>
      <c r="H198" s="51"/>
      <c r="J198" s="38"/>
    </row>
    <row r="199" spans="2:10" x14ac:dyDescent="0.35">
      <c r="B199" s="4"/>
      <c r="C199" s="4"/>
      <c r="D199" s="44"/>
      <c r="E199" s="41"/>
      <c r="F199" s="41"/>
      <c r="G199" s="51"/>
      <c r="H199" s="51"/>
      <c r="J199" s="38"/>
    </row>
    <row r="200" spans="2:10" x14ac:dyDescent="0.35">
      <c r="B200" s="4"/>
      <c r="C200" s="4"/>
      <c r="D200" s="44"/>
      <c r="E200" s="41"/>
      <c r="F200" s="41"/>
      <c r="G200" s="51"/>
      <c r="H200" s="51"/>
      <c r="J200" s="38"/>
    </row>
    <row r="201" spans="2:10" x14ac:dyDescent="0.35">
      <c r="B201" s="4"/>
      <c r="C201" s="4"/>
      <c r="D201" s="44"/>
      <c r="E201" s="41"/>
      <c r="F201" s="41"/>
      <c r="G201" s="51"/>
      <c r="H201" s="51"/>
      <c r="J201" s="38"/>
    </row>
    <row r="202" spans="2:10" x14ac:dyDescent="0.35">
      <c r="B202" s="4"/>
      <c r="C202" s="4"/>
      <c r="D202" s="44"/>
      <c r="E202" s="41"/>
      <c r="F202" s="41"/>
      <c r="G202" s="51"/>
      <c r="H202" s="51"/>
      <c r="J202" s="38"/>
    </row>
    <row r="203" spans="2:10" x14ac:dyDescent="0.35">
      <c r="B203" s="4"/>
      <c r="C203" s="4"/>
      <c r="D203" s="44"/>
      <c r="E203" s="41"/>
      <c r="F203" s="41"/>
      <c r="G203" s="51"/>
      <c r="H203" s="51"/>
      <c r="J203" s="38"/>
    </row>
    <row r="204" spans="2:10" x14ac:dyDescent="0.35">
      <c r="B204" s="4"/>
      <c r="C204" s="4"/>
      <c r="D204" s="44"/>
      <c r="E204" s="41"/>
      <c r="F204" s="41"/>
      <c r="G204" s="51"/>
      <c r="H204" s="51"/>
      <c r="J204" s="38"/>
    </row>
    <row r="205" spans="2:10" x14ac:dyDescent="0.35">
      <c r="B205" s="4"/>
      <c r="C205" s="4"/>
      <c r="D205" s="44"/>
      <c r="E205" s="41"/>
      <c r="F205" s="41"/>
      <c r="G205" s="51"/>
      <c r="H205" s="51"/>
      <c r="J205" s="38"/>
    </row>
    <row r="206" spans="2:10" x14ac:dyDescent="0.35">
      <c r="B206" s="4"/>
      <c r="C206" s="4"/>
      <c r="D206" s="44"/>
      <c r="E206" s="41"/>
      <c r="F206" s="41"/>
      <c r="G206" s="51"/>
      <c r="H206" s="51"/>
      <c r="J206" s="38"/>
    </row>
    <row r="207" spans="2:10" x14ac:dyDescent="0.35">
      <c r="B207" s="4"/>
      <c r="C207" s="4"/>
      <c r="D207" s="44"/>
      <c r="E207" s="41"/>
      <c r="F207" s="41"/>
      <c r="G207" s="51"/>
      <c r="H207" s="51"/>
      <c r="J207" s="38"/>
    </row>
    <row r="208" spans="2:10" x14ac:dyDescent="0.35">
      <c r="B208" s="4"/>
      <c r="C208" s="4"/>
      <c r="D208" s="44"/>
      <c r="E208" s="41"/>
      <c r="F208" s="41"/>
      <c r="G208" s="51"/>
      <c r="H208" s="51"/>
      <c r="J208" s="38"/>
    </row>
    <row r="209" spans="2:10" x14ac:dyDescent="0.35">
      <c r="B209" s="4"/>
      <c r="C209" s="4"/>
      <c r="D209" s="44"/>
      <c r="E209" s="41"/>
      <c r="F209" s="41"/>
      <c r="G209" s="51"/>
      <c r="H209" s="51"/>
      <c r="J209" s="38"/>
    </row>
    <row r="210" spans="2:10" x14ac:dyDescent="0.35">
      <c r="B210" s="4"/>
      <c r="C210" s="4"/>
      <c r="D210" s="44"/>
      <c r="E210" s="41"/>
      <c r="F210" s="41"/>
      <c r="G210" s="51"/>
      <c r="H210" s="51"/>
      <c r="J210" s="38"/>
    </row>
    <row r="211" spans="2:10" x14ac:dyDescent="0.35">
      <c r="B211" s="4"/>
      <c r="C211" s="4"/>
      <c r="D211" s="44"/>
      <c r="E211" s="41"/>
      <c r="F211" s="41"/>
      <c r="G211" s="51"/>
      <c r="H211" s="51"/>
      <c r="J211" s="38"/>
    </row>
    <row r="212" spans="2:10" x14ac:dyDescent="0.35">
      <c r="B212" s="4"/>
      <c r="C212" s="4"/>
      <c r="D212" s="44"/>
      <c r="E212" s="41"/>
      <c r="F212" s="41"/>
      <c r="G212" s="51"/>
      <c r="H212" s="51"/>
      <c r="J212" s="38"/>
    </row>
    <row r="213" spans="2:10" x14ac:dyDescent="0.35">
      <c r="B213" s="4"/>
      <c r="C213" s="4"/>
      <c r="D213" s="44"/>
      <c r="E213" s="41"/>
      <c r="F213" s="41"/>
      <c r="G213" s="51"/>
      <c r="H213" s="51"/>
      <c r="J213" s="38"/>
    </row>
    <row r="214" spans="2:10" x14ac:dyDescent="0.35">
      <c r="B214" s="4"/>
      <c r="C214" s="4"/>
      <c r="D214" s="44"/>
      <c r="E214" s="41"/>
      <c r="F214" s="41"/>
      <c r="G214" s="51"/>
      <c r="H214" s="51"/>
      <c r="J214" s="38"/>
    </row>
    <row r="215" spans="2:10" x14ac:dyDescent="0.35">
      <c r="B215" s="4"/>
      <c r="C215" s="4"/>
      <c r="D215" s="44"/>
      <c r="E215" s="41"/>
      <c r="F215" s="41"/>
      <c r="G215" s="51"/>
      <c r="H215" s="51"/>
      <c r="J215" s="38"/>
    </row>
    <row r="216" spans="2:10" x14ac:dyDescent="0.35">
      <c r="B216" s="4"/>
      <c r="C216" s="4"/>
      <c r="D216" s="44"/>
      <c r="E216" s="41"/>
      <c r="F216" s="41"/>
      <c r="G216" s="51"/>
      <c r="H216" s="51"/>
      <c r="J216" s="38"/>
    </row>
    <row r="217" spans="2:10" x14ac:dyDescent="0.35">
      <c r="B217" s="4"/>
      <c r="C217" s="4"/>
      <c r="D217" s="44"/>
      <c r="E217" s="41"/>
      <c r="F217" s="41"/>
      <c r="G217" s="51"/>
      <c r="H217" s="51"/>
      <c r="J217" s="38"/>
    </row>
    <row r="218" spans="2:10" x14ac:dyDescent="0.35">
      <c r="B218" s="4"/>
      <c r="C218" s="4"/>
      <c r="D218" s="44"/>
      <c r="E218" s="41"/>
      <c r="F218" s="41"/>
      <c r="G218" s="51"/>
      <c r="H218" s="51"/>
      <c r="J218" s="38"/>
    </row>
    <row r="219" spans="2:10" x14ac:dyDescent="0.35">
      <c r="B219" s="4"/>
      <c r="C219" s="4"/>
      <c r="D219" s="44"/>
      <c r="E219" s="41"/>
      <c r="F219" s="41"/>
      <c r="G219" s="51"/>
      <c r="H219" s="51"/>
      <c r="J219" s="38"/>
    </row>
    <row r="220" spans="2:10" x14ac:dyDescent="0.35">
      <c r="B220" s="4"/>
      <c r="C220" s="4"/>
      <c r="D220" s="44"/>
      <c r="E220" s="41"/>
      <c r="F220" s="41"/>
      <c r="G220" s="51"/>
      <c r="H220" s="51"/>
      <c r="J220" s="38"/>
    </row>
    <row r="221" spans="2:10" x14ac:dyDescent="0.35">
      <c r="B221" s="4"/>
      <c r="C221" s="4"/>
      <c r="D221" s="44"/>
      <c r="E221" s="41"/>
      <c r="F221" s="41"/>
      <c r="G221" s="51"/>
      <c r="H221" s="51"/>
      <c r="J221" s="38"/>
    </row>
    <row r="222" spans="2:10" x14ac:dyDescent="0.35">
      <c r="B222" s="4"/>
      <c r="C222" s="4"/>
      <c r="D222" s="44"/>
      <c r="E222" s="41"/>
      <c r="F222" s="41"/>
      <c r="G222" s="51"/>
      <c r="H222" s="51"/>
      <c r="J222" s="38"/>
    </row>
    <row r="223" spans="2:10" x14ac:dyDescent="0.35">
      <c r="B223" s="4"/>
      <c r="C223" s="4"/>
      <c r="D223" s="44"/>
      <c r="E223" s="41"/>
      <c r="F223" s="41"/>
      <c r="G223" s="51"/>
      <c r="H223" s="51"/>
      <c r="J223" s="38"/>
    </row>
    <row r="224" spans="2:10" x14ac:dyDescent="0.35">
      <c r="B224" s="4"/>
      <c r="C224" s="4"/>
      <c r="D224" s="44"/>
      <c r="E224" s="41"/>
      <c r="F224" s="41"/>
      <c r="G224" s="51"/>
      <c r="H224" s="51"/>
      <c r="J224" s="38"/>
    </row>
    <row r="225" spans="2:10" x14ac:dyDescent="0.35">
      <c r="B225" s="4"/>
      <c r="C225" s="4"/>
      <c r="D225" s="44"/>
      <c r="E225" s="41"/>
      <c r="F225" s="41"/>
      <c r="G225" s="51"/>
      <c r="H225" s="51"/>
      <c r="J225" s="38"/>
    </row>
    <row r="226" spans="2:10" x14ac:dyDescent="0.35">
      <c r="B226" s="4"/>
      <c r="C226" s="4"/>
      <c r="D226" s="44"/>
      <c r="E226" s="41"/>
      <c r="F226" s="41"/>
      <c r="G226" s="51"/>
      <c r="H226" s="51"/>
      <c r="J226" s="38"/>
    </row>
    <row r="227" spans="2:10" x14ac:dyDescent="0.35">
      <c r="B227" s="4"/>
      <c r="C227" s="4"/>
      <c r="D227" s="44"/>
      <c r="E227" s="41"/>
      <c r="F227" s="41"/>
      <c r="G227" s="51"/>
      <c r="J227" s="38"/>
    </row>
    <row r="228" spans="2:10" x14ac:dyDescent="0.35">
      <c r="B228" s="4"/>
      <c r="C228" s="4"/>
      <c r="D228" s="44"/>
      <c r="E228" s="41"/>
      <c r="F228" s="41"/>
      <c r="G228" s="51"/>
      <c r="J228" s="38"/>
    </row>
    <row r="229" spans="2:10" x14ac:dyDescent="0.35">
      <c r="B229" s="4"/>
      <c r="C229" s="4"/>
      <c r="D229" s="44"/>
      <c r="E229" s="41"/>
      <c r="F229" s="41"/>
      <c r="G229" s="51"/>
      <c r="J229" s="38"/>
    </row>
    <row r="230" spans="2:10" x14ac:dyDescent="0.35">
      <c r="B230" s="4"/>
      <c r="C230" s="4"/>
      <c r="D230" s="44"/>
      <c r="E230" s="41"/>
      <c r="F230" s="41"/>
      <c r="G230" s="51"/>
      <c r="J230" s="38"/>
    </row>
    <row r="231" spans="2:10" x14ac:dyDescent="0.35">
      <c r="B231" s="4"/>
      <c r="C231" s="4"/>
      <c r="D231" s="44"/>
      <c r="E231" s="41"/>
      <c r="F231" s="41"/>
      <c r="G231" s="51"/>
      <c r="J231" s="38"/>
    </row>
    <row r="232" spans="2:10" x14ac:dyDescent="0.35">
      <c r="B232" s="4"/>
      <c r="C232" s="4"/>
      <c r="D232" s="44"/>
      <c r="E232" s="41"/>
      <c r="F232" s="41"/>
      <c r="G232" s="51"/>
      <c r="J232" s="38"/>
    </row>
    <row r="233" spans="2:10" x14ac:dyDescent="0.35">
      <c r="B233" s="4"/>
      <c r="C233" s="4"/>
      <c r="D233" s="44"/>
      <c r="E233" s="41"/>
      <c r="F233" s="41"/>
      <c r="G233" s="51"/>
      <c r="J233" s="38"/>
    </row>
    <row r="234" spans="2:10" x14ac:dyDescent="0.35">
      <c r="B234" s="4"/>
      <c r="C234" s="4"/>
      <c r="D234" s="44"/>
      <c r="E234" s="41"/>
      <c r="F234" s="41"/>
      <c r="G234" s="51"/>
      <c r="J234" s="38"/>
    </row>
    <row r="235" spans="2:10" x14ac:dyDescent="0.35">
      <c r="B235" s="4"/>
      <c r="C235" s="4"/>
      <c r="D235" s="44"/>
      <c r="E235" s="41"/>
      <c r="F235" s="41"/>
      <c r="G235" s="51"/>
      <c r="J235" s="38"/>
    </row>
    <row r="236" spans="2:10" x14ac:dyDescent="0.35">
      <c r="B236" s="4"/>
      <c r="C236" s="4"/>
      <c r="D236" s="44"/>
      <c r="E236" s="41"/>
      <c r="F236" s="41"/>
      <c r="G236" s="51"/>
      <c r="J236" s="38"/>
    </row>
    <row r="237" spans="2:10" x14ac:dyDescent="0.35">
      <c r="B237" s="4"/>
      <c r="C237" s="4"/>
      <c r="D237" s="44"/>
      <c r="E237" s="41"/>
      <c r="F237" s="41"/>
      <c r="G237" s="51"/>
      <c r="J237" s="38"/>
    </row>
    <row r="238" spans="2:10" x14ac:dyDescent="0.35">
      <c r="B238" s="4"/>
      <c r="C238" s="4"/>
      <c r="D238" s="44"/>
      <c r="E238" s="41"/>
      <c r="F238" s="41"/>
      <c r="G238" s="51"/>
      <c r="J238" s="38"/>
    </row>
    <row r="239" spans="2:10" x14ac:dyDescent="0.35">
      <c r="B239" s="4"/>
      <c r="C239" s="4"/>
      <c r="D239" s="44"/>
      <c r="E239" s="41"/>
      <c r="F239" s="41"/>
      <c r="G239" s="51"/>
      <c r="J239" s="38"/>
    </row>
    <row r="240" spans="2:10" x14ac:dyDescent="0.35">
      <c r="B240" s="4"/>
      <c r="C240" s="4"/>
      <c r="D240" s="44"/>
      <c r="E240" s="41"/>
      <c r="F240" s="41"/>
      <c r="G240" s="51"/>
      <c r="J240" s="38"/>
    </row>
    <row r="241" spans="2:10" x14ac:dyDescent="0.35">
      <c r="B241" s="4"/>
      <c r="C241" s="4"/>
      <c r="D241" s="44"/>
      <c r="E241" s="41"/>
      <c r="F241" s="41"/>
      <c r="G241" s="51"/>
      <c r="J241" s="38"/>
    </row>
    <row r="242" spans="2:10" x14ac:dyDescent="0.35">
      <c r="B242" s="4"/>
      <c r="C242" s="4"/>
      <c r="D242" s="44"/>
      <c r="E242" s="41"/>
      <c r="F242" s="41"/>
      <c r="G242" s="51"/>
      <c r="J242" s="38"/>
    </row>
    <row r="243" spans="2:10" x14ac:dyDescent="0.35">
      <c r="B243" s="4"/>
      <c r="C243" s="4"/>
      <c r="D243" s="44"/>
      <c r="E243" s="41"/>
      <c r="F243" s="41"/>
      <c r="G243" s="51"/>
      <c r="J243" s="38"/>
    </row>
    <row r="244" spans="2:10" x14ac:dyDescent="0.35">
      <c r="B244" s="4"/>
      <c r="C244" s="4"/>
      <c r="D244" s="44"/>
      <c r="E244" s="41"/>
      <c r="F244" s="41"/>
      <c r="G244" s="51"/>
      <c r="J244" s="38"/>
    </row>
    <row r="245" spans="2:10" x14ac:dyDescent="0.35">
      <c r="B245" s="4"/>
      <c r="C245" s="4"/>
      <c r="D245" s="44"/>
      <c r="E245" s="41"/>
      <c r="F245" s="41"/>
      <c r="G245" s="51"/>
      <c r="J245" s="38"/>
    </row>
    <row r="246" spans="2:10" x14ac:dyDescent="0.35">
      <c r="B246" s="4"/>
      <c r="C246" s="4"/>
      <c r="D246" s="44"/>
      <c r="E246" s="41"/>
      <c r="F246" s="41"/>
      <c r="G246" s="51"/>
      <c r="J246" s="38"/>
    </row>
    <row r="247" spans="2:10" x14ac:dyDescent="0.35">
      <c r="B247" s="4"/>
      <c r="C247" s="4"/>
      <c r="D247" s="44"/>
      <c r="E247" s="41"/>
      <c r="F247" s="41"/>
      <c r="G247" s="51"/>
      <c r="J247" s="38"/>
    </row>
    <row r="248" spans="2:10" x14ac:dyDescent="0.35">
      <c r="B248" s="4"/>
      <c r="C248" s="4"/>
      <c r="D248" s="44"/>
      <c r="E248" s="41"/>
      <c r="F248" s="41"/>
      <c r="G248" s="51"/>
      <c r="J248" s="38"/>
    </row>
    <row r="249" spans="2:10" x14ac:dyDescent="0.35">
      <c r="B249" s="4"/>
      <c r="C249" s="4"/>
      <c r="D249" s="44"/>
      <c r="E249" s="41"/>
      <c r="F249" s="41"/>
      <c r="G249" s="51"/>
      <c r="J249" s="38"/>
    </row>
    <row r="250" spans="2:10" x14ac:dyDescent="0.35">
      <c r="B250" s="4"/>
      <c r="C250" s="4"/>
      <c r="D250" s="44"/>
      <c r="E250" s="41"/>
      <c r="F250" s="41"/>
      <c r="G250" s="51"/>
      <c r="J250" s="38"/>
    </row>
    <row r="251" spans="2:10" x14ac:dyDescent="0.35">
      <c r="B251" s="4"/>
      <c r="C251" s="4"/>
      <c r="D251" s="44"/>
      <c r="E251" s="41"/>
      <c r="F251" s="41"/>
      <c r="G251" s="51"/>
      <c r="J251" s="38"/>
    </row>
    <row r="252" spans="2:10" x14ac:dyDescent="0.35">
      <c r="B252" s="4"/>
      <c r="C252" s="4"/>
      <c r="D252" s="44"/>
      <c r="E252" s="41"/>
      <c r="F252" s="41"/>
      <c r="G252" s="51"/>
      <c r="J252" s="38"/>
    </row>
    <row r="253" spans="2:10" x14ac:dyDescent="0.35">
      <c r="B253" s="4"/>
      <c r="C253" s="4"/>
      <c r="D253" s="44"/>
      <c r="E253" s="41"/>
      <c r="F253" s="41"/>
      <c r="G253" s="51"/>
      <c r="J253" s="38"/>
    </row>
    <row r="254" spans="2:10" x14ac:dyDescent="0.35">
      <c r="B254" s="4"/>
      <c r="C254" s="4"/>
      <c r="D254" s="44"/>
      <c r="E254" s="41"/>
      <c r="F254" s="41"/>
      <c r="G254" s="51"/>
      <c r="J254" s="38"/>
    </row>
    <row r="255" spans="2:10" x14ac:dyDescent="0.35">
      <c r="B255" s="4"/>
      <c r="C255" s="4"/>
      <c r="D255" s="44"/>
      <c r="E255" s="41"/>
      <c r="F255" s="41"/>
      <c r="G255" s="51"/>
      <c r="J255" s="38"/>
    </row>
    <row r="256" spans="2:10" x14ac:dyDescent="0.35">
      <c r="B256" s="4"/>
      <c r="C256" s="4"/>
      <c r="D256" s="44"/>
      <c r="E256" s="41"/>
      <c r="F256" s="41"/>
      <c r="G256" s="51"/>
      <c r="J256" s="38"/>
    </row>
    <row r="257" spans="2:10" x14ac:dyDescent="0.35">
      <c r="B257" s="4"/>
      <c r="C257" s="4"/>
      <c r="D257" s="44"/>
      <c r="E257" s="41"/>
      <c r="F257" s="41"/>
      <c r="G257" s="51"/>
      <c r="J257" s="38"/>
    </row>
    <row r="258" spans="2:10" x14ac:dyDescent="0.35">
      <c r="B258" s="4"/>
      <c r="C258" s="4"/>
      <c r="D258" s="44"/>
      <c r="E258" s="41"/>
      <c r="F258" s="41"/>
      <c r="G258" s="51"/>
      <c r="J258" s="38"/>
    </row>
    <row r="259" spans="2:10" x14ac:dyDescent="0.35">
      <c r="B259" s="4"/>
      <c r="C259" s="4"/>
      <c r="D259" s="44"/>
      <c r="E259" s="41"/>
      <c r="F259" s="41"/>
      <c r="G259" s="51"/>
      <c r="J259" s="38"/>
    </row>
    <row r="260" spans="2:10" x14ac:dyDescent="0.35">
      <c r="B260" s="4"/>
      <c r="C260" s="4"/>
      <c r="D260" s="44"/>
      <c r="E260" s="41"/>
      <c r="F260" s="41"/>
      <c r="G260" s="51"/>
      <c r="J260" s="38"/>
    </row>
    <row r="261" spans="2:10" x14ac:dyDescent="0.35">
      <c r="B261" s="4"/>
      <c r="C261" s="4"/>
      <c r="D261" s="44"/>
      <c r="E261" s="41"/>
      <c r="F261" s="41"/>
      <c r="G261" s="51"/>
      <c r="J261" s="38"/>
    </row>
    <row r="262" spans="2:10" x14ac:dyDescent="0.35">
      <c r="B262" s="4"/>
      <c r="C262" s="4"/>
      <c r="D262" s="44"/>
      <c r="E262" s="41"/>
      <c r="F262" s="41"/>
      <c r="G262" s="51"/>
      <c r="J262" s="38"/>
    </row>
    <row r="263" spans="2:10" x14ac:dyDescent="0.35">
      <c r="B263" s="4"/>
      <c r="C263" s="4"/>
      <c r="D263" s="44"/>
      <c r="E263" s="41"/>
      <c r="F263" s="41"/>
      <c r="G263" s="51"/>
      <c r="J263" s="38"/>
    </row>
    <row r="264" spans="2:10" x14ac:dyDescent="0.35">
      <c r="B264" s="4"/>
      <c r="C264" s="4"/>
      <c r="D264" s="44"/>
      <c r="E264" s="41"/>
      <c r="F264" s="41"/>
      <c r="J264" s="38"/>
    </row>
    <row r="265" spans="2:10" x14ac:dyDescent="0.35">
      <c r="B265" s="4"/>
      <c r="C265" s="4"/>
      <c r="D265" s="44"/>
      <c r="E265" s="41"/>
      <c r="F265" s="41"/>
      <c r="J265" s="38"/>
    </row>
    <row r="266" spans="2:10" x14ac:dyDescent="0.35">
      <c r="B266" s="4"/>
      <c r="C266" s="4"/>
      <c r="D266" s="44"/>
      <c r="E266" s="41"/>
      <c r="F266" s="41"/>
      <c r="J266" s="38"/>
    </row>
    <row r="267" spans="2:10" x14ac:dyDescent="0.35">
      <c r="B267" s="4"/>
      <c r="C267" s="4"/>
      <c r="D267" s="44"/>
      <c r="E267" s="41"/>
      <c r="F267" s="41"/>
      <c r="J267" s="38"/>
    </row>
    <row r="268" spans="2:10" x14ac:dyDescent="0.35">
      <c r="B268" s="4"/>
      <c r="C268" s="4"/>
      <c r="D268" s="44"/>
      <c r="E268" s="41"/>
      <c r="F268" s="41"/>
      <c r="J268" s="38"/>
    </row>
    <row r="269" spans="2:10" x14ac:dyDescent="0.35">
      <c r="B269" s="4"/>
      <c r="C269" s="4"/>
      <c r="D269" s="44"/>
      <c r="E269" s="41"/>
      <c r="F269" s="41"/>
      <c r="J269" s="38"/>
    </row>
    <row r="270" spans="2:10" x14ac:dyDescent="0.35">
      <c r="B270" s="4"/>
      <c r="C270" s="4"/>
      <c r="D270" s="44"/>
      <c r="E270" s="41"/>
      <c r="F270" s="41"/>
      <c r="J270" s="38"/>
    </row>
    <row r="271" spans="2:10" x14ac:dyDescent="0.35">
      <c r="B271" s="4"/>
      <c r="C271" s="4"/>
      <c r="D271" s="44"/>
      <c r="E271" s="41"/>
      <c r="F271" s="41"/>
      <c r="J271" s="38"/>
    </row>
    <row r="272" spans="2:10" x14ac:dyDescent="0.35">
      <c r="B272" s="4"/>
      <c r="C272" s="4"/>
      <c r="D272" s="44"/>
      <c r="E272" s="41"/>
      <c r="F272" s="41"/>
      <c r="J272" s="38"/>
    </row>
    <row r="273" spans="2:10" x14ac:dyDescent="0.35">
      <c r="B273" s="4"/>
      <c r="C273" s="4"/>
      <c r="D273" s="44"/>
      <c r="E273" s="41"/>
      <c r="F273" s="41"/>
      <c r="J273" s="38"/>
    </row>
    <row r="274" spans="2:10" x14ac:dyDescent="0.35">
      <c r="B274" s="4"/>
      <c r="C274" s="4"/>
      <c r="D274" s="44"/>
      <c r="E274" s="41"/>
      <c r="F274" s="41"/>
      <c r="J274" s="38"/>
    </row>
    <row r="275" spans="2:10" x14ac:dyDescent="0.35">
      <c r="B275" s="4"/>
      <c r="C275" s="4"/>
      <c r="D275" s="44"/>
      <c r="E275" s="41"/>
      <c r="F275" s="41"/>
      <c r="J275" s="38"/>
    </row>
    <row r="276" spans="2:10" x14ac:dyDescent="0.35">
      <c r="B276" s="4"/>
      <c r="C276" s="4"/>
      <c r="D276" s="44"/>
      <c r="E276" s="41"/>
      <c r="F276" s="41"/>
      <c r="J276" s="38"/>
    </row>
    <row r="277" spans="2:10" x14ac:dyDescent="0.35">
      <c r="B277" s="4"/>
      <c r="C277" s="4"/>
      <c r="D277" s="44"/>
      <c r="E277" s="41"/>
      <c r="F277" s="41"/>
      <c r="J277" s="38"/>
    </row>
    <row r="278" spans="2:10" x14ac:dyDescent="0.35">
      <c r="B278" s="4"/>
      <c r="C278" s="4"/>
      <c r="D278" s="44"/>
      <c r="E278" s="41"/>
      <c r="F278" s="41"/>
      <c r="J278" s="38"/>
    </row>
    <row r="279" spans="2:10" x14ac:dyDescent="0.35">
      <c r="B279" s="4"/>
      <c r="C279" s="4"/>
      <c r="D279" s="44"/>
      <c r="E279" s="41"/>
      <c r="F279" s="41"/>
      <c r="J279" s="38"/>
    </row>
    <row r="280" spans="2:10" x14ac:dyDescent="0.35">
      <c r="B280" s="4"/>
      <c r="C280" s="4"/>
      <c r="D280" s="44"/>
      <c r="E280" s="41"/>
      <c r="F280" s="41"/>
      <c r="J280" s="38"/>
    </row>
    <row r="281" spans="2:10" x14ac:dyDescent="0.35">
      <c r="B281" s="4"/>
      <c r="C281" s="4"/>
      <c r="D281" s="44"/>
      <c r="E281" s="41"/>
      <c r="F281" s="41"/>
      <c r="J281" s="38"/>
    </row>
    <row r="282" spans="2:10" x14ac:dyDescent="0.35">
      <c r="B282" s="4"/>
      <c r="C282" s="4"/>
      <c r="D282" s="44"/>
      <c r="E282" s="41"/>
      <c r="F282" s="41"/>
      <c r="J282" s="38"/>
    </row>
    <row r="283" spans="2:10" x14ac:dyDescent="0.35">
      <c r="B283" s="4"/>
      <c r="C283" s="4"/>
      <c r="D283" s="44"/>
      <c r="E283" s="41"/>
      <c r="F283" s="41"/>
      <c r="J283" s="38"/>
    </row>
    <row r="284" spans="2:10" x14ac:dyDescent="0.35">
      <c r="B284" s="4"/>
      <c r="C284" s="4"/>
      <c r="D284" s="44"/>
      <c r="E284" s="41"/>
      <c r="F284" s="41"/>
      <c r="J284" s="38"/>
    </row>
    <row r="285" spans="2:10" x14ac:dyDescent="0.35">
      <c r="B285" s="4"/>
      <c r="C285" s="4"/>
      <c r="D285" s="44"/>
      <c r="E285" s="41"/>
      <c r="F285" s="41"/>
      <c r="J285" s="38"/>
    </row>
    <row r="286" spans="2:10" x14ac:dyDescent="0.35">
      <c r="B286" s="4"/>
      <c r="C286" s="4"/>
      <c r="D286" s="44"/>
      <c r="E286" s="41"/>
      <c r="F286" s="41"/>
      <c r="J286" s="38"/>
    </row>
    <row r="287" spans="2:10" x14ac:dyDescent="0.35">
      <c r="B287" s="4"/>
      <c r="C287" s="4"/>
      <c r="D287" s="44"/>
      <c r="E287" s="41"/>
      <c r="F287" s="41"/>
      <c r="J287" s="38"/>
    </row>
    <row r="288" spans="2:10" x14ac:dyDescent="0.35">
      <c r="B288" s="4"/>
      <c r="C288" s="4"/>
      <c r="D288" s="44"/>
      <c r="E288" s="41"/>
      <c r="F288" s="41"/>
      <c r="J288" s="38"/>
    </row>
    <row r="289" spans="2:10" x14ac:dyDescent="0.35">
      <c r="B289" s="4"/>
      <c r="C289" s="4"/>
      <c r="D289" s="44"/>
      <c r="E289" s="41"/>
      <c r="F289" s="41"/>
      <c r="J289" s="38"/>
    </row>
    <row r="290" spans="2:10" x14ac:dyDescent="0.35">
      <c r="B290" s="4"/>
      <c r="C290" s="4"/>
      <c r="D290" s="44"/>
      <c r="E290" s="41"/>
      <c r="F290" s="41"/>
      <c r="J290" s="38"/>
    </row>
    <row r="291" spans="2:10" x14ac:dyDescent="0.35">
      <c r="B291" s="4"/>
      <c r="C291" s="4"/>
      <c r="D291" s="44"/>
      <c r="E291" s="41"/>
      <c r="F291" s="41"/>
      <c r="J291" s="38"/>
    </row>
    <row r="292" spans="2:10" x14ac:dyDescent="0.35">
      <c r="B292" s="4"/>
      <c r="C292" s="4"/>
      <c r="D292" s="44"/>
      <c r="E292" s="41"/>
      <c r="F292" s="41"/>
      <c r="J292" s="38"/>
    </row>
    <row r="293" spans="2:10" x14ac:dyDescent="0.35">
      <c r="B293" s="4"/>
      <c r="C293" s="4"/>
      <c r="D293" s="44"/>
      <c r="E293" s="41"/>
      <c r="F293" s="41"/>
      <c r="J293" s="38"/>
    </row>
    <row r="294" spans="2:10" x14ac:dyDescent="0.35">
      <c r="B294" s="4"/>
      <c r="C294" s="4"/>
      <c r="D294" s="44"/>
      <c r="E294" s="41"/>
      <c r="F294" s="41"/>
      <c r="J294" s="38"/>
    </row>
    <row r="295" spans="2:10" x14ac:dyDescent="0.35">
      <c r="B295" s="4"/>
      <c r="C295" s="4"/>
      <c r="D295" s="44"/>
      <c r="E295" s="41"/>
      <c r="F295" s="41"/>
      <c r="J295" s="38"/>
    </row>
    <row r="296" spans="2:10" x14ac:dyDescent="0.35">
      <c r="B296" s="4"/>
      <c r="C296" s="4"/>
      <c r="D296" s="44"/>
      <c r="E296" s="41"/>
      <c r="F296" s="41"/>
      <c r="J296" s="38"/>
    </row>
    <row r="297" spans="2:10" x14ac:dyDescent="0.35">
      <c r="B297" s="4"/>
      <c r="C297" s="4"/>
      <c r="D297" s="44"/>
      <c r="E297" s="41"/>
      <c r="F297" s="41"/>
      <c r="J297" s="38"/>
    </row>
    <row r="298" spans="2:10" x14ac:dyDescent="0.35">
      <c r="B298" s="4"/>
      <c r="C298" s="4"/>
      <c r="D298" s="44"/>
      <c r="E298" s="41"/>
      <c r="F298" s="41"/>
      <c r="J298" s="38"/>
    </row>
    <row r="299" spans="2:10" x14ac:dyDescent="0.35">
      <c r="B299" s="4"/>
      <c r="C299" s="4"/>
      <c r="D299" s="44"/>
      <c r="E299" s="41"/>
      <c r="F299" s="41"/>
      <c r="J299" s="38"/>
    </row>
    <row r="300" spans="2:10" x14ac:dyDescent="0.35">
      <c r="B300" s="4"/>
      <c r="C300" s="4"/>
      <c r="D300" s="44"/>
      <c r="E300" s="41"/>
      <c r="F300" s="41"/>
      <c r="J300" s="38"/>
    </row>
    <row r="301" spans="2:10" x14ac:dyDescent="0.35">
      <c r="B301" s="4"/>
      <c r="C301" s="4"/>
      <c r="D301" s="44"/>
      <c r="E301" s="41"/>
      <c r="F301" s="41"/>
      <c r="J301" s="38"/>
    </row>
    <row r="302" spans="2:10" x14ac:dyDescent="0.35">
      <c r="B302" s="4"/>
      <c r="C302" s="4"/>
      <c r="D302" s="44"/>
      <c r="E302" s="41"/>
      <c r="F302" s="41"/>
      <c r="J302" s="38"/>
    </row>
    <row r="303" spans="2:10" x14ac:dyDescent="0.35">
      <c r="B303" s="4"/>
      <c r="C303" s="4"/>
      <c r="D303" s="44"/>
      <c r="E303" s="41"/>
      <c r="F303" s="41"/>
      <c r="J303" s="38"/>
    </row>
    <row r="304" spans="2:10" x14ac:dyDescent="0.35">
      <c r="B304" s="4"/>
      <c r="C304" s="4"/>
      <c r="D304" s="44"/>
      <c r="E304" s="41"/>
      <c r="F304" s="41"/>
      <c r="J304" s="38"/>
    </row>
    <row r="305" spans="2:10" x14ac:dyDescent="0.35">
      <c r="B305" s="4"/>
      <c r="C305" s="4"/>
      <c r="D305" s="44"/>
      <c r="E305" s="41"/>
      <c r="F305" s="41"/>
      <c r="J305" s="38"/>
    </row>
    <row r="306" spans="2:10" x14ac:dyDescent="0.35">
      <c r="B306" s="4"/>
      <c r="C306" s="4"/>
      <c r="D306" s="44"/>
      <c r="E306" s="41"/>
      <c r="F306" s="41"/>
      <c r="J306" s="38"/>
    </row>
    <row r="307" spans="2:10" x14ac:dyDescent="0.35">
      <c r="B307" s="4"/>
      <c r="C307" s="4"/>
      <c r="D307" s="44"/>
      <c r="E307" s="41"/>
      <c r="F307" s="41"/>
      <c r="J307" s="38"/>
    </row>
    <row r="308" spans="2:10" x14ac:dyDescent="0.35">
      <c r="B308" s="4"/>
      <c r="C308" s="4"/>
      <c r="D308" s="44"/>
      <c r="E308" s="41"/>
      <c r="F308" s="41"/>
      <c r="J308" s="38"/>
    </row>
    <row r="309" spans="2:10" x14ac:dyDescent="0.35">
      <c r="B309" s="4"/>
      <c r="C309" s="4"/>
      <c r="D309" s="44"/>
      <c r="E309" s="41"/>
      <c r="F309" s="41"/>
      <c r="J309" s="38"/>
    </row>
    <row r="310" spans="2:10" x14ac:dyDescent="0.35">
      <c r="B310" s="4"/>
      <c r="C310" s="4"/>
      <c r="D310" s="44"/>
      <c r="E310" s="41"/>
      <c r="F310" s="41"/>
      <c r="J310" s="38"/>
    </row>
    <row r="311" spans="2:10" x14ac:dyDescent="0.35">
      <c r="B311" s="4"/>
      <c r="C311" s="4"/>
      <c r="D311" s="44"/>
      <c r="E311" s="41"/>
      <c r="F311" s="41"/>
      <c r="J311" s="38"/>
    </row>
    <row r="312" spans="2:10" x14ac:dyDescent="0.35">
      <c r="B312" s="4"/>
      <c r="C312" s="4"/>
      <c r="D312" s="44"/>
      <c r="E312" s="41"/>
      <c r="F312" s="41"/>
      <c r="J312" s="38"/>
    </row>
    <row r="313" spans="2:10" x14ac:dyDescent="0.35">
      <c r="B313" s="4"/>
      <c r="C313" s="4"/>
      <c r="D313" s="44"/>
      <c r="E313" s="41"/>
      <c r="F313" s="41"/>
      <c r="J313" s="38"/>
    </row>
    <row r="314" spans="2:10" x14ac:dyDescent="0.35">
      <c r="B314" s="4"/>
      <c r="C314" s="4"/>
      <c r="D314" s="44"/>
      <c r="E314" s="41"/>
      <c r="F314" s="41"/>
      <c r="J314" s="38"/>
    </row>
    <row r="315" spans="2:10" x14ac:dyDescent="0.35">
      <c r="B315" s="4"/>
      <c r="C315" s="4"/>
      <c r="D315" s="44"/>
      <c r="E315" s="41"/>
      <c r="F315" s="41"/>
      <c r="J315" s="38"/>
    </row>
    <row r="316" spans="2:10" x14ac:dyDescent="0.35">
      <c r="B316" s="4"/>
      <c r="C316" s="4"/>
      <c r="D316" s="44"/>
      <c r="E316" s="41"/>
      <c r="F316" s="41"/>
      <c r="J316" s="38"/>
    </row>
    <row r="317" spans="2:10" x14ac:dyDescent="0.35">
      <c r="B317" s="4"/>
      <c r="C317" s="4"/>
      <c r="D317" s="44"/>
      <c r="E317" s="41"/>
      <c r="F317" s="41"/>
      <c r="J317" s="38"/>
    </row>
    <row r="318" spans="2:10" x14ac:dyDescent="0.35">
      <c r="B318" s="4"/>
      <c r="C318" s="4"/>
      <c r="D318" s="44"/>
      <c r="E318" s="41"/>
      <c r="F318" s="41"/>
      <c r="J318" s="38"/>
    </row>
    <row r="319" spans="2:10" x14ac:dyDescent="0.35">
      <c r="B319" s="4"/>
      <c r="C319" s="4"/>
      <c r="D319" s="44"/>
      <c r="E319" s="41"/>
      <c r="F319" s="41"/>
      <c r="J319" s="38"/>
    </row>
    <row r="320" spans="2:10" x14ac:dyDescent="0.35">
      <c r="B320" s="4"/>
      <c r="C320" s="4"/>
      <c r="D320" s="44"/>
      <c r="E320" s="41"/>
      <c r="F320" s="41"/>
      <c r="J320" s="38"/>
    </row>
    <row r="321" spans="2:10" x14ac:dyDescent="0.35">
      <c r="B321" s="4"/>
      <c r="C321" s="4"/>
      <c r="D321" s="44"/>
      <c r="E321" s="41"/>
      <c r="F321" s="41"/>
      <c r="J321" s="38"/>
    </row>
    <row r="322" spans="2:10" x14ac:dyDescent="0.35">
      <c r="B322" s="4"/>
      <c r="C322" s="4"/>
      <c r="D322" s="44"/>
      <c r="E322" s="41"/>
      <c r="F322" s="41"/>
      <c r="J322" s="38"/>
    </row>
    <row r="323" spans="2:10" x14ac:dyDescent="0.35">
      <c r="B323" s="4"/>
      <c r="C323" s="4"/>
      <c r="D323" s="44"/>
      <c r="E323" s="41"/>
      <c r="F323" s="41"/>
      <c r="J323" s="38"/>
    </row>
    <row r="324" spans="2:10" x14ac:dyDescent="0.35">
      <c r="B324" s="4"/>
      <c r="C324" s="4"/>
      <c r="D324" s="44"/>
      <c r="E324" s="41"/>
      <c r="F324" s="41"/>
      <c r="J324" s="38"/>
    </row>
    <row r="325" spans="2:10" x14ac:dyDescent="0.35">
      <c r="B325" s="4"/>
      <c r="C325" s="4"/>
      <c r="D325" s="44"/>
      <c r="E325" s="41"/>
      <c r="F325" s="41"/>
      <c r="J325" s="38"/>
    </row>
    <row r="326" spans="2:10" x14ac:dyDescent="0.35">
      <c r="B326" s="4"/>
      <c r="C326" s="4"/>
      <c r="D326" s="44"/>
      <c r="E326" s="41"/>
      <c r="F326" s="41"/>
      <c r="J326" s="38"/>
    </row>
    <row r="327" spans="2:10" x14ac:dyDescent="0.35">
      <c r="B327" s="4"/>
      <c r="C327" s="4"/>
      <c r="D327" s="44"/>
      <c r="E327" s="41"/>
      <c r="F327" s="41"/>
      <c r="J327" s="38"/>
    </row>
    <row r="328" spans="2:10" x14ac:dyDescent="0.35">
      <c r="B328" s="4"/>
      <c r="C328" s="4"/>
      <c r="D328" s="44"/>
      <c r="E328" s="41"/>
      <c r="F328" s="41"/>
      <c r="J328" s="38"/>
    </row>
    <row r="329" spans="2:10" x14ac:dyDescent="0.35">
      <c r="B329" s="4"/>
      <c r="C329" s="4"/>
      <c r="D329" s="44"/>
      <c r="E329" s="41"/>
      <c r="F329" s="41"/>
      <c r="J329" s="38"/>
    </row>
    <row r="330" spans="2:10" x14ac:dyDescent="0.35">
      <c r="B330" s="4"/>
      <c r="C330" s="4"/>
      <c r="D330" s="44"/>
      <c r="E330" s="41"/>
      <c r="F330" s="41"/>
      <c r="J330" s="38"/>
    </row>
    <row r="331" spans="2:10" x14ac:dyDescent="0.35">
      <c r="B331" s="4"/>
      <c r="C331" s="4"/>
      <c r="D331" s="44"/>
      <c r="E331" s="41"/>
      <c r="F331" s="41"/>
      <c r="J331" s="38"/>
    </row>
    <row r="332" spans="2:10" x14ac:dyDescent="0.35">
      <c r="B332" s="4"/>
      <c r="C332" s="4"/>
      <c r="D332" s="44"/>
      <c r="E332" s="41"/>
      <c r="F332" s="41"/>
      <c r="J332" s="38"/>
    </row>
    <row r="333" spans="2:10" x14ac:dyDescent="0.35">
      <c r="B333" s="4"/>
      <c r="C333" s="4"/>
      <c r="D333" s="44"/>
      <c r="E333" s="41"/>
      <c r="F333" s="41"/>
      <c r="J333" s="38"/>
    </row>
    <row r="334" spans="2:10" x14ac:dyDescent="0.35">
      <c r="B334" s="4"/>
      <c r="C334" s="4"/>
      <c r="D334" s="44"/>
      <c r="E334" s="41"/>
      <c r="F334" s="41"/>
      <c r="J334" s="38"/>
    </row>
    <row r="335" spans="2:10" x14ac:dyDescent="0.35">
      <c r="B335" s="4"/>
      <c r="C335" s="4"/>
      <c r="D335" s="44"/>
      <c r="E335" s="41"/>
      <c r="F335" s="41"/>
      <c r="J335" s="38"/>
    </row>
    <row r="336" spans="2:10" x14ac:dyDescent="0.35">
      <c r="B336" s="4"/>
      <c r="C336" s="4"/>
      <c r="D336" s="44"/>
      <c r="E336" s="41"/>
      <c r="F336" s="41"/>
      <c r="J336" s="38"/>
    </row>
    <row r="337" spans="2:10" x14ac:dyDescent="0.35">
      <c r="B337" s="4"/>
      <c r="C337" s="4"/>
      <c r="D337" s="44"/>
      <c r="E337" s="41"/>
      <c r="F337" s="41"/>
      <c r="J337" s="38"/>
    </row>
    <row r="338" spans="2:10" x14ac:dyDescent="0.35">
      <c r="B338" s="4"/>
      <c r="C338" s="4"/>
      <c r="D338" s="44"/>
      <c r="E338" s="41"/>
      <c r="F338" s="41"/>
      <c r="J338" s="38"/>
    </row>
    <row r="339" spans="2:10" x14ac:dyDescent="0.35">
      <c r="B339" s="4"/>
      <c r="C339" s="4"/>
      <c r="D339" s="44"/>
      <c r="E339" s="41"/>
      <c r="F339" s="41"/>
      <c r="J339" s="38"/>
    </row>
    <row r="340" spans="2:10" x14ac:dyDescent="0.35">
      <c r="B340" s="4"/>
      <c r="C340" s="4"/>
      <c r="D340" s="44"/>
      <c r="E340" s="41"/>
      <c r="F340" s="41"/>
      <c r="J340" s="38"/>
    </row>
    <row r="341" spans="2:10" x14ac:dyDescent="0.35">
      <c r="B341" s="4"/>
      <c r="C341" s="4"/>
      <c r="D341" s="44"/>
      <c r="E341" s="41"/>
      <c r="F341" s="41"/>
      <c r="J341" s="38"/>
    </row>
    <row r="342" spans="2:10" x14ac:dyDescent="0.35">
      <c r="B342" s="4"/>
      <c r="C342" s="4"/>
      <c r="D342" s="44"/>
      <c r="E342" s="41"/>
      <c r="F342" s="41"/>
      <c r="J342" s="38"/>
    </row>
    <row r="343" spans="2:10" x14ac:dyDescent="0.35">
      <c r="B343" s="4"/>
      <c r="C343" s="4"/>
      <c r="D343" s="44"/>
      <c r="E343" s="41"/>
      <c r="F343" s="41"/>
      <c r="J343" s="38"/>
    </row>
    <row r="344" spans="2:10" x14ac:dyDescent="0.35">
      <c r="B344" s="4"/>
      <c r="C344" s="4"/>
      <c r="D344" s="44"/>
      <c r="E344" s="41"/>
      <c r="F344" s="41"/>
      <c r="J344" s="38"/>
    </row>
    <row r="345" spans="2:10" x14ac:dyDescent="0.35">
      <c r="B345" s="4"/>
      <c r="C345" s="4"/>
      <c r="D345" s="44"/>
      <c r="E345" s="41"/>
      <c r="F345" s="41"/>
      <c r="J345" s="38"/>
    </row>
    <row r="346" spans="2:10" x14ac:dyDescent="0.35">
      <c r="B346" s="4"/>
      <c r="C346" s="4"/>
      <c r="D346" s="44"/>
      <c r="E346" s="41"/>
      <c r="F346" s="41"/>
      <c r="J346" s="38"/>
    </row>
    <row r="347" spans="2:10" x14ac:dyDescent="0.35">
      <c r="B347" s="4"/>
      <c r="C347" s="4"/>
      <c r="D347" s="44"/>
      <c r="E347" s="41"/>
      <c r="F347" s="41"/>
      <c r="J347" s="38"/>
    </row>
    <row r="348" spans="2:10" x14ac:dyDescent="0.35">
      <c r="B348" s="4"/>
      <c r="C348" s="4"/>
      <c r="D348" s="44"/>
      <c r="E348" s="41"/>
      <c r="F348" s="41"/>
      <c r="J348" s="38"/>
    </row>
    <row r="349" spans="2:10" x14ac:dyDescent="0.35">
      <c r="B349" s="4"/>
      <c r="C349" s="4"/>
      <c r="D349" s="44"/>
      <c r="E349" s="41"/>
      <c r="F349" s="41"/>
      <c r="J349" s="38"/>
    </row>
    <row r="350" spans="2:10" x14ac:dyDescent="0.35">
      <c r="B350" s="4"/>
      <c r="C350" s="4"/>
      <c r="D350" s="44"/>
      <c r="E350" s="41"/>
      <c r="F350" s="41"/>
      <c r="J350" s="38"/>
    </row>
    <row r="351" spans="2:10" x14ac:dyDescent="0.35">
      <c r="B351" s="4"/>
      <c r="C351" s="4"/>
      <c r="D351" s="44"/>
      <c r="E351" s="41"/>
      <c r="F351" s="41"/>
      <c r="J351" s="38"/>
    </row>
    <row r="352" spans="2:10" x14ac:dyDescent="0.35">
      <c r="B352" s="4"/>
      <c r="C352" s="4"/>
      <c r="D352" s="44"/>
      <c r="E352" s="41"/>
      <c r="F352" s="41"/>
      <c r="J352" s="38"/>
    </row>
    <row r="353" spans="2:10" x14ac:dyDescent="0.35">
      <c r="B353" s="4"/>
      <c r="C353" s="4"/>
      <c r="D353" s="44"/>
      <c r="E353" s="41"/>
      <c r="F353" s="41"/>
      <c r="J353" s="38"/>
    </row>
    <row r="354" spans="2:10" x14ac:dyDescent="0.35">
      <c r="B354" s="4"/>
      <c r="C354" s="4"/>
      <c r="D354" s="44"/>
      <c r="E354" s="41"/>
      <c r="F354" s="41"/>
      <c r="J354" s="38"/>
    </row>
    <row r="355" spans="2:10" x14ac:dyDescent="0.35">
      <c r="B355" s="4"/>
      <c r="C355" s="4"/>
      <c r="D355" s="44"/>
      <c r="E355" s="41"/>
      <c r="F355" s="41"/>
      <c r="J355" s="38"/>
    </row>
    <row r="356" spans="2:10" x14ac:dyDescent="0.35">
      <c r="B356" s="4"/>
      <c r="C356" s="4"/>
      <c r="D356" s="44"/>
      <c r="E356" s="41"/>
      <c r="F356" s="41"/>
      <c r="J356" s="38"/>
    </row>
    <row r="357" spans="2:10" x14ac:dyDescent="0.35">
      <c r="B357" s="4"/>
      <c r="C357" s="4"/>
      <c r="D357" s="44"/>
      <c r="E357" s="41"/>
      <c r="F357" s="41"/>
      <c r="J357" s="38"/>
    </row>
    <row r="358" spans="2:10" x14ac:dyDescent="0.35">
      <c r="B358" s="4"/>
      <c r="C358" s="4"/>
      <c r="D358" s="44"/>
      <c r="E358" s="41"/>
      <c r="F358" s="41"/>
      <c r="J358" s="38"/>
    </row>
    <row r="359" spans="2:10" x14ac:dyDescent="0.35">
      <c r="B359" s="4"/>
      <c r="C359" s="4"/>
      <c r="D359" s="44"/>
      <c r="E359" s="41"/>
      <c r="F359" s="41"/>
      <c r="J359" s="38"/>
    </row>
    <row r="360" spans="2:10" x14ac:dyDescent="0.35">
      <c r="B360" s="4"/>
      <c r="C360" s="4"/>
      <c r="D360" s="44"/>
      <c r="E360" s="41"/>
      <c r="F360" s="41"/>
      <c r="J360" s="38"/>
    </row>
    <row r="361" spans="2:10" x14ac:dyDescent="0.35">
      <c r="B361" s="4"/>
      <c r="C361" s="4"/>
      <c r="D361" s="44"/>
      <c r="E361" s="41"/>
      <c r="F361" s="41"/>
      <c r="J361" s="38"/>
    </row>
    <row r="362" spans="2:10" x14ac:dyDescent="0.35">
      <c r="B362" s="4"/>
      <c r="C362" s="4"/>
      <c r="D362" s="44"/>
      <c r="E362" s="41"/>
      <c r="F362" s="41"/>
      <c r="J362" s="38"/>
    </row>
    <row r="363" spans="2:10" x14ac:dyDescent="0.35">
      <c r="B363" s="4"/>
      <c r="C363" s="4"/>
      <c r="D363" s="44"/>
      <c r="E363" s="41"/>
      <c r="F363" s="41"/>
      <c r="J363" s="38"/>
    </row>
    <row r="364" spans="2:10" x14ac:dyDescent="0.35">
      <c r="B364" s="4"/>
      <c r="C364" s="4"/>
      <c r="D364" s="44"/>
      <c r="E364" s="41"/>
      <c r="F364" s="41"/>
      <c r="J364" s="38"/>
    </row>
    <row r="365" spans="2:10" x14ac:dyDescent="0.35">
      <c r="B365" s="4"/>
      <c r="C365" s="4"/>
      <c r="D365" s="44"/>
      <c r="E365" s="41"/>
      <c r="F365" s="41"/>
      <c r="J365" s="38"/>
    </row>
    <row r="366" spans="2:10" x14ac:dyDescent="0.35">
      <c r="B366" s="4"/>
      <c r="C366" s="4"/>
      <c r="D366" s="44"/>
      <c r="E366" s="41"/>
      <c r="F366" s="41"/>
      <c r="J366" s="38"/>
    </row>
    <row r="367" spans="2:10" x14ac:dyDescent="0.35">
      <c r="B367" s="4"/>
      <c r="C367" s="4"/>
      <c r="D367" s="44"/>
      <c r="E367" s="41"/>
      <c r="F367" s="41"/>
      <c r="J367" s="38"/>
    </row>
    <row r="368" spans="2:10" x14ac:dyDescent="0.35">
      <c r="B368" s="4"/>
      <c r="C368" s="4"/>
      <c r="D368" s="44"/>
      <c r="E368" s="41"/>
      <c r="F368" s="41"/>
      <c r="J368" s="38"/>
    </row>
    <row r="369" spans="2:10" x14ac:dyDescent="0.35">
      <c r="B369" s="4"/>
      <c r="C369" s="4"/>
      <c r="D369" s="44"/>
      <c r="E369" s="41"/>
      <c r="F369" s="41"/>
      <c r="J369" s="38"/>
    </row>
    <row r="370" spans="2:10" x14ac:dyDescent="0.35">
      <c r="B370" s="4"/>
      <c r="C370" s="4"/>
      <c r="D370" s="44"/>
      <c r="E370" s="41"/>
      <c r="F370" s="41"/>
      <c r="J370" s="38"/>
    </row>
    <row r="371" spans="2:10" x14ac:dyDescent="0.35">
      <c r="B371" s="4"/>
      <c r="C371" s="4"/>
      <c r="D371" s="44"/>
      <c r="E371" s="41"/>
      <c r="F371" s="41"/>
      <c r="J371" s="38"/>
    </row>
    <row r="372" spans="2:10" x14ac:dyDescent="0.35">
      <c r="B372" s="4"/>
      <c r="C372" s="4"/>
      <c r="D372" s="44"/>
      <c r="E372" s="41"/>
      <c r="F372" s="41"/>
      <c r="J372" s="38"/>
    </row>
    <row r="373" spans="2:10" x14ac:dyDescent="0.35">
      <c r="B373" s="4"/>
      <c r="C373" s="4"/>
      <c r="D373" s="44"/>
      <c r="E373" s="41"/>
      <c r="F373" s="41"/>
      <c r="J373" s="38"/>
    </row>
    <row r="374" spans="2:10" x14ac:dyDescent="0.35">
      <c r="B374" s="4"/>
      <c r="C374" s="4"/>
      <c r="D374" s="44"/>
      <c r="E374" s="41"/>
      <c r="F374" s="41"/>
      <c r="J374" s="38"/>
    </row>
    <row r="375" spans="2:10" x14ac:dyDescent="0.35">
      <c r="B375" s="4"/>
      <c r="C375" s="4"/>
      <c r="D375" s="44"/>
      <c r="E375" s="41"/>
      <c r="F375" s="41"/>
      <c r="J375" s="38"/>
    </row>
    <row r="376" spans="2:10" x14ac:dyDescent="0.35">
      <c r="B376" s="4"/>
      <c r="C376" s="4"/>
      <c r="D376" s="44"/>
      <c r="E376" s="41"/>
      <c r="F376" s="41"/>
      <c r="J376" s="38"/>
    </row>
    <row r="377" spans="2:10" x14ac:dyDescent="0.35">
      <c r="B377" s="4"/>
      <c r="C377" s="4"/>
      <c r="D377" s="44"/>
      <c r="E377" s="41"/>
      <c r="F377" s="41"/>
      <c r="J377" s="38"/>
    </row>
    <row r="378" spans="2:10" x14ac:dyDescent="0.35">
      <c r="B378" s="4"/>
      <c r="C378" s="4"/>
      <c r="D378" s="44"/>
      <c r="E378" s="41"/>
      <c r="F378" s="41"/>
      <c r="J378" s="38"/>
    </row>
    <row r="379" spans="2:10" x14ac:dyDescent="0.35">
      <c r="B379" s="4"/>
      <c r="C379" s="4"/>
      <c r="D379" s="44"/>
      <c r="E379" s="41"/>
      <c r="F379" s="41"/>
      <c r="J379" s="38"/>
    </row>
    <row r="380" spans="2:10" x14ac:dyDescent="0.35">
      <c r="B380" s="4"/>
      <c r="C380" s="4"/>
      <c r="D380" s="44"/>
      <c r="E380" s="41"/>
      <c r="F380" s="41"/>
      <c r="J380" s="38"/>
    </row>
    <row r="381" spans="2:10" x14ac:dyDescent="0.35">
      <c r="B381" s="4"/>
      <c r="C381" s="4"/>
      <c r="D381" s="44"/>
      <c r="E381" s="41"/>
      <c r="F381" s="41"/>
      <c r="J381" s="38"/>
    </row>
    <row r="382" spans="2:10" x14ac:dyDescent="0.35">
      <c r="B382" s="4"/>
      <c r="C382" s="4"/>
      <c r="D382" s="44"/>
      <c r="E382" s="41"/>
      <c r="F382" s="41"/>
      <c r="J382" s="38"/>
    </row>
    <row r="383" spans="2:10" x14ac:dyDescent="0.35">
      <c r="B383" s="4"/>
      <c r="C383" s="4"/>
      <c r="D383" s="44"/>
      <c r="E383" s="41"/>
      <c r="F383" s="41"/>
      <c r="J383" s="38"/>
    </row>
    <row r="384" spans="2:10" x14ac:dyDescent="0.35">
      <c r="B384" s="4"/>
      <c r="C384" s="4"/>
      <c r="D384" s="44"/>
      <c r="E384" s="41"/>
      <c r="F384" s="41"/>
      <c r="J384" s="38"/>
    </row>
    <row r="385" spans="2:10" x14ac:dyDescent="0.35">
      <c r="B385" s="4"/>
      <c r="C385" s="4"/>
      <c r="D385" s="44"/>
      <c r="E385" s="41"/>
      <c r="F385" s="41"/>
      <c r="J385" s="38"/>
    </row>
    <row r="386" spans="2:10" x14ac:dyDescent="0.35">
      <c r="B386" s="4"/>
      <c r="C386" s="4"/>
      <c r="D386" s="44"/>
      <c r="E386" s="41"/>
      <c r="F386" s="41"/>
      <c r="J386" s="38"/>
    </row>
    <row r="387" spans="2:10" x14ac:dyDescent="0.35">
      <c r="B387" s="4"/>
      <c r="C387" s="4"/>
      <c r="D387" s="44"/>
      <c r="E387" s="41"/>
      <c r="F387" s="41"/>
      <c r="J387" s="38"/>
    </row>
    <row r="388" spans="2:10" x14ac:dyDescent="0.35">
      <c r="B388" s="4"/>
      <c r="C388" s="4"/>
      <c r="D388" s="44"/>
      <c r="E388" s="41"/>
      <c r="F388" s="41"/>
      <c r="J388" s="38"/>
    </row>
    <row r="389" spans="2:10" x14ac:dyDescent="0.35">
      <c r="B389" s="4"/>
      <c r="C389" s="4"/>
      <c r="D389" s="44"/>
      <c r="E389" s="41"/>
      <c r="F389" s="41"/>
      <c r="J389" s="38"/>
    </row>
    <row r="390" spans="2:10" x14ac:dyDescent="0.35">
      <c r="B390" s="4"/>
      <c r="C390" s="4"/>
      <c r="D390" s="44"/>
      <c r="E390" s="41"/>
      <c r="F390" s="41"/>
      <c r="J390" s="38"/>
    </row>
    <row r="391" spans="2:10" x14ac:dyDescent="0.35">
      <c r="B391" s="4"/>
      <c r="C391" s="4"/>
      <c r="D391" s="44"/>
      <c r="E391" s="41"/>
      <c r="F391" s="41"/>
      <c r="J391" s="38"/>
    </row>
    <row r="392" spans="2:10" x14ac:dyDescent="0.35">
      <c r="B392" s="4"/>
      <c r="C392" s="4"/>
      <c r="D392" s="44"/>
      <c r="E392" s="41"/>
      <c r="F392" s="41"/>
      <c r="J392" s="38"/>
    </row>
    <row r="393" spans="2:10" x14ac:dyDescent="0.35">
      <c r="B393" s="4"/>
      <c r="C393" s="4"/>
      <c r="D393" s="44"/>
      <c r="E393" s="41"/>
      <c r="F393" s="41"/>
      <c r="J393" s="38"/>
    </row>
    <row r="394" spans="2:10" x14ac:dyDescent="0.35">
      <c r="B394" s="4"/>
      <c r="C394" s="4"/>
      <c r="D394" s="44"/>
      <c r="E394" s="41"/>
      <c r="F394" s="41"/>
      <c r="J394" s="38"/>
    </row>
    <row r="395" spans="2:10" x14ac:dyDescent="0.35">
      <c r="B395" s="4"/>
      <c r="C395" s="4"/>
      <c r="D395" s="44"/>
      <c r="E395" s="41"/>
      <c r="F395" s="41"/>
      <c r="J395" s="38"/>
    </row>
    <row r="396" spans="2:10" x14ac:dyDescent="0.35">
      <c r="B396" s="4"/>
      <c r="C396" s="4"/>
      <c r="D396" s="44"/>
      <c r="E396" s="41"/>
      <c r="F396" s="41"/>
      <c r="J396" s="38"/>
    </row>
    <row r="397" spans="2:10" x14ac:dyDescent="0.35">
      <c r="B397" s="4"/>
      <c r="C397" s="4"/>
      <c r="D397" s="44"/>
      <c r="E397" s="41"/>
      <c r="F397" s="41"/>
      <c r="J397" s="38"/>
    </row>
    <row r="398" spans="2:10" x14ac:dyDescent="0.35">
      <c r="B398" s="4"/>
      <c r="C398" s="4"/>
      <c r="D398" s="44"/>
      <c r="E398" s="41"/>
      <c r="F398" s="41"/>
      <c r="J398" s="38"/>
    </row>
    <row r="399" spans="2:10" x14ac:dyDescent="0.35">
      <c r="B399" s="4"/>
      <c r="C399" s="4"/>
      <c r="D399" s="44"/>
      <c r="E399" s="41"/>
      <c r="F399" s="41"/>
      <c r="J399" s="38"/>
    </row>
    <row r="400" spans="2:10" x14ac:dyDescent="0.35">
      <c r="B400" s="4"/>
      <c r="C400" s="4"/>
      <c r="D400" s="44"/>
      <c r="E400" s="41"/>
      <c r="F400" s="41"/>
      <c r="J400" s="38"/>
    </row>
    <row r="401" spans="2:10" x14ac:dyDescent="0.35">
      <c r="B401" s="4"/>
      <c r="C401" s="4"/>
      <c r="D401" s="44"/>
      <c r="E401" s="41"/>
      <c r="F401" s="41"/>
      <c r="J401" s="38"/>
    </row>
    <row r="402" spans="2:10" x14ac:dyDescent="0.35">
      <c r="B402" s="4"/>
      <c r="C402" s="4"/>
      <c r="D402" s="44"/>
      <c r="E402" s="41"/>
      <c r="F402" s="41"/>
      <c r="J402" s="38"/>
    </row>
    <row r="403" spans="2:10" x14ac:dyDescent="0.35">
      <c r="B403" s="4"/>
      <c r="C403" s="4"/>
      <c r="D403" s="44"/>
      <c r="E403" s="41"/>
      <c r="F403" s="41"/>
      <c r="J403" s="38"/>
    </row>
    <row r="404" spans="2:10" x14ac:dyDescent="0.35">
      <c r="B404" s="4"/>
      <c r="C404" s="4"/>
      <c r="D404" s="44"/>
      <c r="E404" s="41"/>
      <c r="F404" s="41"/>
      <c r="J404" s="38"/>
    </row>
    <row r="405" spans="2:10" x14ac:dyDescent="0.35">
      <c r="B405" s="4"/>
      <c r="C405" s="4"/>
      <c r="D405" s="44"/>
      <c r="E405" s="41"/>
      <c r="F405" s="41"/>
      <c r="J405" s="38"/>
    </row>
    <row r="406" spans="2:10" x14ac:dyDescent="0.35">
      <c r="B406" s="4"/>
      <c r="C406" s="4"/>
      <c r="D406" s="44"/>
      <c r="E406" s="41"/>
      <c r="F406" s="41"/>
      <c r="J406" s="38"/>
    </row>
    <row r="407" spans="2:10" x14ac:dyDescent="0.35">
      <c r="B407" s="4"/>
      <c r="C407" s="4"/>
      <c r="D407" s="44"/>
      <c r="E407" s="41"/>
      <c r="F407" s="41"/>
      <c r="J407" s="38"/>
    </row>
    <row r="408" spans="2:10" x14ac:dyDescent="0.35">
      <c r="B408" s="4"/>
      <c r="C408" s="4"/>
      <c r="D408" s="44"/>
      <c r="E408" s="41"/>
      <c r="F408" s="41"/>
      <c r="J408" s="38"/>
    </row>
    <row r="409" spans="2:10" x14ac:dyDescent="0.35">
      <c r="B409" s="4"/>
      <c r="C409" s="4"/>
      <c r="D409" s="44"/>
      <c r="E409" s="41"/>
      <c r="F409" s="41"/>
      <c r="J409" s="38"/>
    </row>
    <row r="410" spans="2:10" x14ac:dyDescent="0.35">
      <c r="B410" s="4"/>
      <c r="C410" s="4"/>
      <c r="D410" s="44"/>
      <c r="E410" s="41"/>
      <c r="F410" s="41"/>
      <c r="J410" s="38"/>
    </row>
    <row r="411" spans="2:10" x14ac:dyDescent="0.35">
      <c r="B411" s="4"/>
      <c r="C411" s="4"/>
      <c r="D411" s="44"/>
      <c r="E411" s="41"/>
      <c r="F411" s="41"/>
      <c r="J411" s="38"/>
    </row>
    <row r="412" spans="2:10" x14ac:dyDescent="0.35">
      <c r="B412" s="4"/>
      <c r="C412" s="4"/>
      <c r="D412" s="44"/>
      <c r="E412" s="41"/>
      <c r="F412" s="41"/>
      <c r="J412" s="38"/>
    </row>
    <row r="413" spans="2:10" x14ac:dyDescent="0.35">
      <c r="B413" s="4"/>
      <c r="C413" s="4"/>
      <c r="D413" s="44"/>
      <c r="E413" s="41"/>
      <c r="F413" s="41"/>
      <c r="J413" s="38"/>
    </row>
    <row r="414" spans="2:10" x14ac:dyDescent="0.35">
      <c r="B414" s="4"/>
      <c r="C414" s="4"/>
      <c r="D414" s="44"/>
      <c r="E414" s="41"/>
      <c r="F414" s="41"/>
      <c r="J414" s="38"/>
    </row>
    <row r="415" spans="2:10" x14ac:dyDescent="0.35">
      <c r="B415" s="4"/>
      <c r="C415" s="4"/>
      <c r="D415" s="44"/>
      <c r="E415" s="41"/>
      <c r="F415" s="41"/>
      <c r="J415" s="38"/>
    </row>
    <row r="416" spans="2:10" x14ac:dyDescent="0.35">
      <c r="B416" s="4"/>
      <c r="C416" s="4"/>
      <c r="D416" s="44"/>
      <c r="E416" s="41"/>
      <c r="F416" s="41"/>
      <c r="J416" s="38"/>
    </row>
    <row r="417" spans="2:10" x14ac:dyDescent="0.35">
      <c r="B417" s="4"/>
      <c r="C417" s="4"/>
      <c r="D417" s="44"/>
      <c r="E417" s="41"/>
      <c r="F417" s="41"/>
      <c r="J417" s="38"/>
    </row>
    <row r="418" spans="2:10" x14ac:dyDescent="0.35">
      <c r="B418" s="4"/>
      <c r="C418" s="4"/>
      <c r="D418" s="44"/>
      <c r="E418" s="41"/>
      <c r="F418" s="41"/>
      <c r="J418" s="38"/>
    </row>
    <row r="419" spans="2:10" x14ac:dyDescent="0.35">
      <c r="B419" s="4"/>
      <c r="C419" s="4"/>
      <c r="D419" s="44"/>
      <c r="E419" s="41"/>
      <c r="F419" s="41"/>
      <c r="J419" s="38"/>
    </row>
    <row r="420" spans="2:10" x14ac:dyDescent="0.35">
      <c r="B420" s="4"/>
      <c r="C420" s="4"/>
      <c r="D420" s="44"/>
      <c r="E420" s="41"/>
      <c r="F420" s="41"/>
      <c r="J420" s="38"/>
    </row>
    <row r="421" spans="2:10" x14ac:dyDescent="0.35">
      <c r="B421" s="4"/>
      <c r="C421" s="4"/>
      <c r="D421" s="44"/>
      <c r="E421" s="41"/>
      <c r="F421" s="41"/>
      <c r="J421" s="38"/>
    </row>
    <row r="422" spans="2:10" x14ac:dyDescent="0.35">
      <c r="B422" s="4"/>
      <c r="C422" s="4"/>
      <c r="D422" s="44"/>
      <c r="E422" s="41"/>
      <c r="F422" s="41"/>
      <c r="J422" s="38"/>
    </row>
    <row r="423" spans="2:10" x14ac:dyDescent="0.35">
      <c r="B423" s="4"/>
      <c r="C423" s="4"/>
      <c r="D423" s="44"/>
      <c r="E423" s="41"/>
      <c r="F423" s="41"/>
      <c r="J423" s="38"/>
    </row>
    <row r="424" spans="2:10" x14ac:dyDescent="0.35">
      <c r="B424" s="4"/>
      <c r="C424" s="4"/>
      <c r="D424" s="44"/>
      <c r="E424" s="41"/>
      <c r="F424" s="41"/>
      <c r="J424" s="38"/>
    </row>
    <row r="425" spans="2:10" x14ac:dyDescent="0.35">
      <c r="B425" s="4"/>
      <c r="C425" s="4"/>
      <c r="D425" s="44"/>
      <c r="E425" s="41"/>
      <c r="F425" s="41"/>
      <c r="J425" s="38"/>
    </row>
    <row r="426" spans="2:10" x14ac:dyDescent="0.35">
      <c r="B426" s="4"/>
      <c r="C426" s="4"/>
      <c r="D426" s="44"/>
      <c r="E426" s="41"/>
      <c r="F426" s="41"/>
      <c r="J426" s="38"/>
    </row>
    <row r="427" spans="2:10" x14ac:dyDescent="0.35">
      <c r="B427" s="4"/>
      <c r="C427" s="4"/>
      <c r="D427" s="44"/>
      <c r="E427" s="42"/>
      <c r="F427" s="41"/>
      <c r="J427" s="38"/>
    </row>
    <row r="428" spans="2:10" x14ac:dyDescent="0.35">
      <c r="B428" s="4"/>
      <c r="C428" s="4"/>
      <c r="D428" s="44"/>
      <c r="E428" s="42"/>
      <c r="F428" s="41"/>
      <c r="J428" s="38"/>
    </row>
    <row r="429" spans="2:10" x14ac:dyDescent="0.35">
      <c r="B429" s="4"/>
      <c r="C429" s="4"/>
      <c r="D429" s="44"/>
      <c r="E429" s="42"/>
      <c r="F429" s="41"/>
      <c r="J429" s="38"/>
    </row>
    <row r="430" spans="2:10" x14ac:dyDescent="0.35">
      <c r="B430" s="4"/>
      <c r="C430" s="4"/>
      <c r="D430" s="44"/>
      <c r="E430" s="42"/>
      <c r="F430" s="41"/>
      <c r="J430" s="38"/>
    </row>
    <row r="431" spans="2:10" x14ac:dyDescent="0.35">
      <c r="B431" s="4"/>
      <c r="C431" s="4"/>
      <c r="D431" s="44"/>
      <c r="E431" s="42"/>
      <c r="F431" s="41"/>
      <c r="J431" s="38"/>
    </row>
    <row r="432" spans="2:10" x14ac:dyDescent="0.35">
      <c r="B432" s="4"/>
      <c r="C432" s="4"/>
      <c r="D432" s="44"/>
      <c r="E432" s="42"/>
      <c r="F432" s="41"/>
      <c r="J432" s="38"/>
    </row>
    <row r="433" spans="2:10" x14ac:dyDescent="0.35">
      <c r="B433" s="4"/>
      <c r="C433" s="4"/>
      <c r="D433" s="44"/>
      <c r="E433" s="42"/>
      <c r="F433" s="41"/>
      <c r="J433" s="38"/>
    </row>
    <row r="434" spans="2:10" x14ac:dyDescent="0.35">
      <c r="B434" s="4"/>
      <c r="C434" s="4"/>
      <c r="D434" s="44"/>
      <c r="E434" s="42"/>
      <c r="F434" s="41"/>
      <c r="J434" s="38"/>
    </row>
    <row r="435" spans="2:10" x14ac:dyDescent="0.35">
      <c r="B435" s="4"/>
      <c r="C435" s="4"/>
      <c r="D435" s="44"/>
      <c r="E435" s="42"/>
      <c r="F435" s="41"/>
      <c r="J435" s="38"/>
    </row>
    <row r="436" spans="2:10" x14ac:dyDescent="0.35">
      <c r="B436" s="4"/>
      <c r="C436" s="4"/>
      <c r="D436" s="44"/>
      <c r="E436" s="42"/>
      <c r="F436" s="41"/>
      <c r="J436" s="38"/>
    </row>
    <row r="437" spans="2:10" x14ac:dyDescent="0.35">
      <c r="B437" s="4"/>
      <c r="C437" s="4"/>
      <c r="D437" s="44"/>
      <c r="E437" s="42"/>
      <c r="F437" s="41"/>
      <c r="J437" s="38"/>
    </row>
    <row r="438" spans="2:10" x14ac:dyDescent="0.35">
      <c r="B438" s="4"/>
      <c r="C438" s="4"/>
      <c r="D438" s="44"/>
      <c r="E438" s="42"/>
      <c r="F438" s="41"/>
      <c r="J438" s="38"/>
    </row>
    <row r="439" spans="2:10" x14ac:dyDescent="0.35">
      <c r="B439" s="4"/>
      <c r="C439" s="4"/>
      <c r="D439" s="44"/>
      <c r="E439" s="42"/>
      <c r="F439" s="41"/>
      <c r="J439" s="38"/>
    </row>
    <row r="440" spans="2:10" x14ac:dyDescent="0.35">
      <c r="B440" s="4"/>
      <c r="C440" s="4"/>
      <c r="D440" s="44"/>
      <c r="E440" s="42"/>
      <c r="F440" s="41"/>
      <c r="J440" s="38"/>
    </row>
    <row r="441" spans="2:10" x14ac:dyDescent="0.35">
      <c r="B441" s="4"/>
      <c r="C441" s="4"/>
      <c r="D441" s="44"/>
      <c r="E441" s="42"/>
      <c r="F441" s="41"/>
      <c r="J441" s="38"/>
    </row>
    <row r="442" spans="2:10" x14ac:dyDescent="0.35">
      <c r="B442" s="4"/>
      <c r="C442" s="4"/>
      <c r="D442" s="44"/>
      <c r="E442" s="42"/>
      <c r="F442" s="41"/>
      <c r="J442" s="38"/>
    </row>
    <row r="443" spans="2:10" x14ac:dyDescent="0.35">
      <c r="B443" s="4"/>
      <c r="C443" s="4"/>
      <c r="D443" s="44"/>
      <c r="E443" s="42"/>
      <c r="F443" s="41"/>
      <c r="J443" s="38"/>
    </row>
    <row r="444" spans="2:10" x14ac:dyDescent="0.35">
      <c r="B444" s="4"/>
      <c r="C444" s="4"/>
      <c r="D444" s="44"/>
      <c r="E444" s="42"/>
      <c r="F444" s="41"/>
      <c r="J444" s="38"/>
    </row>
    <row r="445" spans="2:10" x14ac:dyDescent="0.35">
      <c r="B445" s="4"/>
      <c r="C445" s="4"/>
      <c r="D445" s="44"/>
      <c r="E445" s="42"/>
      <c r="F445" s="41"/>
      <c r="J445" s="38"/>
    </row>
    <row r="446" spans="2:10" x14ac:dyDescent="0.35">
      <c r="B446" s="4"/>
      <c r="C446" s="4"/>
      <c r="D446" s="44"/>
      <c r="E446" s="42"/>
      <c r="F446" s="41"/>
      <c r="J446" s="38"/>
    </row>
    <row r="447" spans="2:10" x14ac:dyDescent="0.35">
      <c r="B447" s="4"/>
      <c r="C447" s="4"/>
      <c r="D447" s="44"/>
      <c r="E447" s="42"/>
      <c r="F447" s="41"/>
      <c r="J447" s="38"/>
    </row>
    <row r="448" spans="2:10" x14ac:dyDescent="0.35">
      <c r="B448" s="4"/>
      <c r="C448" s="4"/>
      <c r="D448" s="44"/>
      <c r="E448" s="42"/>
      <c r="F448" s="41"/>
      <c r="J448" s="38"/>
    </row>
    <row r="449" spans="2:10" x14ac:dyDescent="0.35">
      <c r="B449" s="4"/>
      <c r="C449" s="4"/>
      <c r="D449" s="44"/>
      <c r="E449" s="42"/>
      <c r="F449" s="41"/>
      <c r="J449" s="38"/>
    </row>
    <row r="450" spans="2:10" x14ac:dyDescent="0.35">
      <c r="B450" s="4"/>
      <c r="C450" s="4"/>
      <c r="D450" s="44"/>
      <c r="E450" s="42"/>
      <c r="F450" s="41"/>
      <c r="J450" s="38"/>
    </row>
    <row r="451" spans="2:10" x14ac:dyDescent="0.35">
      <c r="B451" s="4"/>
      <c r="C451" s="4"/>
      <c r="D451" s="44"/>
      <c r="E451" s="42"/>
      <c r="F451" s="41"/>
      <c r="J451" s="38"/>
    </row>
    <row r="452" spans="2:10" x14ac:dyDescent="0.35">
      <c r="B452" s="4"/>
      <c r="C452" s="4"/>
      <c r="D452" s="44"/>
      <c r="E452" s="42"/>
      <c r="F452" s="41"/>
      <c r="J452" s="38"/>
    </row>
    <row r="453" spans="2:10" x14ac:dyDescent="0.35">
      <c r="B453" s="4"/>
      <c r="C453" s="4"/>
      <c r="D453" s="44"/>
      <c r="E453" s="42"/>
      <c r="F453" s="41"/>
      <c r="J453" s="38"/>
    </row>
    <row r="454" spans="2:10" x14ac:dyDescent="0.35">
      <c r="B454" s="4"/>
      <c r="C454" s="4"/>
      <c r="D454" s="44"/>
      <c r="E454" s="42"/>
      <c r="F454" s="41"/>
      <c r="J454" s="38"/>
    </row>
    <row r="455" spans="2:10" x14ac:dyDescent="0.35">
      <c r="B455" s="4"/>
      <c r="C455" s="4"/>
      <c r="D455" s="44"/>
      <c r="E455" s="42"/>
      <c r="F455" s="41"/>
      <c r="J455" s="38"/>
    </row>
    <row r="456" spans="2:10" x14ac:dyDescent="0.35">
      <c r="B456" s="4"/>
      <c r="C456" s="4"/>
      <c r="D456" s="44"/>
      <c r="E456" s="42"/>
      <c r="F456" s="41"/>
      <c r="J456" s="38"/>
    </row>
    <row r="457" spans="2:10" x14ac:dyDescent="0.35">
      <c r="B457" s="4"/>
      <c r="C457" s="4"/>
      <c r="D457" s="44"/>
      <c r="E457" s="42"/>
      <c r="F457" s="41"/>
      <c r="J457" s="38"/>
    </row>
    <row r="458" spans="2:10" x14ac:dyDescent="0.35">
      <c r="B458" s="4"/>
      <c r="C458" s="4"/>
      <c r="D458" s="44"/>
      <c r="E458" s="42"/>
      <c r="F458" s="41"/>
      <c r="J458" s="38"/>
    </row>
    <row r="459" spans="2:10" x14ac:dyDescent="0.35">
      <c r="B459" s="4"/>
      <c r="C459" s="4"/>
      <c r="D459" s="44"/>
      <c r="E459" s="42"/>
      <c r="F459" s="41"/>
      <c r="J459" s="38"/>
    </row>
    <row r="460" spans="2:10" x14ac:dyDescent="0.35">
      <c r="B460" s="4"/>
      <c r="C460" s="4"/>
      <c r="D460" s="44"/>
      <c r="E460" s="42"/>
      <c r="F460" s="41"/>
      <c r="J460" s="38"/>
    </row>
    <row r="461" spans="2:10" x14ac:dyDescent="0.35">
      <c r="B461" s="4"/>
      <c r="C461" s="4"/>
      <c r="D461" s="44"/>
      <c r="E461" s="42"/>
      <c r="F461" s="41"/>
      <c r="J461" s="38"/>
    </row>
    <row r="462" spans="2:10" x14ac:dyDescent="0.35">
      <c r="B462" s="4"/>
      <c r="C462" s="4"/>
      <c r="D462" s="44"/>
      <c r="E462" s="42"/>
      <c r="F462" s="41"/>
      <c r="J462" s="38"/>
    </row>
    <row r="463" spans="2:10" x14ac:dyDescent="0.35">
      <c r="B463" s="4"/>
      <c r="C463" s="4"/>
      <c r="D463" s="44"/>
      <c r="E463" s="42"/>
      <c r="F463" s="41"/>
      <c r="J463" s="38"/>
    </row>
    <row r="464" spans="2:10" x14ac:dyDescent="0.35">
      <c r="B464" s="4"/>
      <c r="C464" s="4"/>
      <c r="D464" s="44"/>
      <c r="E464" s="42"/>
      <c r="F464" s="41"/>
      <c r="J464" s="38"/>
    </row>
    <row r="465" spans="2:10" x14ac:dyDescent="0.35">
      <c r="B465" s="4"/>
      <c r="C465" s="4"/>
      <c r="D465" s="44"/>
      <c r="E465" s="42"/>
      <c r="F465" s="41"/>
      <c r="J465" s="38"/>
    </row>
    <row r="466" spans="2:10" x14ac:dyDescent="0.35">
      <c r="B466" s="4"/>
      <c r="C466" s="4"/>
      <c r="D466" s="44"/>
      <c r="E466" s="42"/>
      <c r="F466" s="41"/>
      <c r="J466" s="38"/>
    </row>
    <row r="467" spans="2:10" x14ac:dyDescent="0.35">
      <c r="B467" s="4"/>
      <c r="C467" s="4"/>
      <c r="D467" s="44"/>
      <c r="E467" s="42"/>
      <c r="F467" s="41"/>
      <c r="J467" s="38"/>
    </row>
    <row r="468" spans="2:10" x14ac:dyDescent="0.35">
      <c r="B468" s="4"/>
      <c r="C468" s="4"/>
      <c r="D468" s="44"/>
      <c r="E468" s="42"/>
      <c r="F468" s="41"/>
      <c r="J468" s="38"/>
    </row>
    <row r="469" spans="2:10" x14ac:dyDescent="0.35">
      <c r="B469" s="4"/>
      <c r="C469" s="4"/>
      <c r="D469" s="44"/>
      <c r="E469" s="42"/>
      <c r="F469" s="41"/>
      <c r="J469" s="38"/>
    </row>
    <row r="470" spans="2:10" x14ac:dyDescent="0.35">
      <c r="B470" s="4"/>
      <c r="C470" s="4"/>
      <c r="D470" s="44"/>
      <c r="E470" s="42"/>
      <c r="F470" s="41"/>
      <c r="J470" s="38"/>
    </row>
    <row r="471" spans="2:10" x14ac:dyDescent="0.35">
      <c r="B471" s="4"/>
      <c r="C471" s="4"/>
      <c r="D471" s="44"/>
      <c r="E471" s="42"/>
      <c r="F471" s="41"/>
      <c r="J471" s="38"/>
    </row>
    <row r="472" spans="2:10" x14ac:dyDescent="0.35">
      <c r="B472" s="4"/>
      <c r="C472" s="4"/>
      <c r="D472" s="44"/>
      <c r="E472" s="42"/>
      <c r="F472" s="41"/>
      <c r="J472" s="38"/>
    </row>
    <row r="473" spans="2:10" x14ac:dyDescent="0.35">
      <c r="B473" s="4"/>
      <c r="C473" s="4"/>
      <c r="D473" s="44"/>
      <c r="E473" s="42"/>
      <c r="F473" s="41"/>
      <c r="J473" s="38"/>
    </row>
    <row r="474" spans="2:10" x14ac:dyDescent="0.35">
      <c r="B474" s="4"/>
      <c r="C474" s="4"/>
      <c r="D474" s="44"/>
      <c r="E474" s="42"/>
      <c r="F474" s="41"/>
      <c r="J474" s="38"/>
    </row>
    <row r="475" spans="2:10" x14ac:dyDescent="0.35">
      <c r="B475" s="4"/>
      <c r="C475" s="4"/>
      <c r="D475" s="44"/>
      <c r="E475" s="42"/>
      <c r="F475" s="41"/>
      <c r="J475" s="38"/>
    </row>
    <row r="476" spans="2:10" x14ac:dyDescent="0.35">
      <c r="B476" s="4"/>
      <c r="C476" s="4"/>
      <c r="D476" s="44"/>
      <c r="E476" s="42"/>
      <c r="F476" s="41"/>
      <c r="J476" s="38"/>
    </row>
    <row r="477" spans="2:10" x14ac:dyDescent="0.35">
      <c r="B477" s="4"/>
      <c r="C477" s="4"/>
      <c r="D477" s="44"/>
      <c r="E477" s="42"/>
      <c r="F477" s="41"/>
      <c r="J477" s="38"/>
    </row>
    <row r="478" spans="2:10" x14ac:dyDescent="0.35">
      <c r="B478" s="4"/>
      <c r="C478" s="4"/>
      <c r="D478" s="44"/>
      <c r="E478" s="42"/>
      <c r="F478" s="41"/>
      <c r="J478" s="38"/>
    </row>
    <row r="479" spans="2:10" x14ac:dyDescent="0.35">
      <c r="B479" s="4"/>
      <c r="C479" s="4"/>
      <c r="D479" s="44"/>
      <c r="E479" s="42"/>
      <c r="F479" s="41"/>
      <c r="J479" s="38"/>
    </row>
    <row r="480" spans="2:10" x14ac:dyDescent="0.35">
      <c r="B480" s="4"/>
      <c r="C480" s="4"/>
      <c r="D480" s="44"/>
      <c r="E480" s="42"/>
      <c r="F480" s="41"/>
      <c r="J480" s="38"/>
    </row>
    <row r="481" spans="2:10" x14ac:dyDescent="0.35">
      <c r="B481" s="4"/>
      <c r="C481" s="4"/>
      <c r="D481" s="44"/>
      <c r="E481" s="42"/>
      <c r="F481" s="41"/>
      <c r="J481" s="38"/>
    </row>
    <row r="482" spans="2:10" x14ac:dyDescent="0.35">
      <c r="B482" s="4"/>
      <c r="C482" s="4"/>
      <c r="D482" s="44"/>
      <c r="E482" s="42"/>
      <c r="F482" s="41"/>
      <c r="J482" s="38"/>
    </row>
    <row r="483" spans="2:10" x14ac:dyDescent="0.35">
      <c r="B483" s="4"/>
      <c r="C483" s="4"/>
      <c r="D483" s="44"/>
      <c r="E483" s="42"/>
      <c r="F483" s="41"/>
      <c r="J483" s="38"/>
    </row>
    <row r="484" spans="2:10" x14ac:dyDescent="0.35">
      <c r="B484" s="4"/>
      <c r="C484" s="4"/>
      <c r="D484" s="44"/>
      <c r="E484" s="42"/>
      <c r="F484" s="41"/>
      <c r="J484" s="38"/>
    </row>
    <row r="485" spans="2:10" x14ac:dyDescent="0.35">
      <c r="B485" s="4"/>
      <c r="C485" s="4"/>
      <c r="D485" s="44"/>
      <c r="E485" s="42"/>
      <c r="F485" s="41"/>
      <c r="J485" s="38"/>
    </row>
    <row r="486" spans="2:10" x14ac:dyDescent="0.35">
      <c r="B486" s="4"/>
      <c r="C486" s="4"/>
      <c r="D486" s="44"/>
      <c r="E486" s="42"/>
      <c r="F486" s="41"/>
      <c r="J486" s="38"/>
    </row>
    <row r="487" spans="2:10" x14ac:dyDescent="0.35">
      <c r="B487" s="4"/>
      <c r="C487" s="4"/>
      <c r="D487" s="44"/>
      <c r="E487" s="42"/>
      <c r="F487" s="41"/>
      <c r="J487" s="38"/>
    </row>
    <row r="488" spans="2:10" x14ac:dyDescent="0.35">
      <c r="B488" s="4"/>
      <c r="C488" s="4"/>
      <c r="D488" s="44"/>
      <c r="E488" s="42"/>
      <c r="F488" s="41"/>
      <c r="J488" s="38"/>
    </row>
    <row r="489" spans="2:10" x14ac:dyDescent="0.35">
      <c r="B489" s="4"/>
      <c r="C489" s="4"/>
      <c r="D489" s="44"/>
      <c r="E489" s="42"/>
      <c r="F489" s="41"/>
      <c r="J489" s="38"/>
    </row>
    <row r="490" spans="2:10" x14ac:dyDescent="0.35">
      <c r="B490" s="4"/>
      <c r="C490" s="4"/>
      <c r="D490" s="44"/>
      <c r="E490" s="42"/>
      <c r="F490" s="41"/>
      <c r="J490" s="38"/>
    </row>
    <row r="491" spans="2:10" x14ac:dyDescent="0.35">
      <c r="B491" s="4"/>
      <c r="C491" s="4"/>
      <c r="D491" s="44"/>
      <c r="E491" s="42"/>
      <c r="F491" s="41"/>
      <c r="J491" s="38"/>
    </row>
    <row r="492" spans="2:10" x14ac:dyDescent="0.35">
      <c r="B492" s="4"/>
      <c r="C492" s="4"/>
      <c r="D492" s="44"/>
      <c r="E492" s="42"/>
      <c r="F492" s="41"/>
      <c r="J492" s="38"/>
    </row>
    <row r="493" spans="2:10" x14ac:dyDescent="0.35">
      <c r="B493" s="4"/>
      <c r="C493" s="4"/>
      <c r="D493" s="44"/>
      <c r="E493" s="42"/>
      <c r="F493" s="41"/>
      <c r="J493" s="38"/>
    </row>
    <row r="494" spans="2:10" x14ac:dyDescent="0.35">
      <c r="B494" s="4"/>
      <c r="C494" s="4"/>
      <c r="D494" s="44"/>
      <c r="E494" s="42"/>
      <c r="F494" s="41"/>
      <c r="J494" s="38"/>
    </row>
    <row r="495" spans="2:10" x14ac:dyDescent="0.35">
      <c r="B495" s="4"/>
      <c r="C495" s="4"/>
      <c r="D495" s="44"/>
      <c r="E495" s="42"/>
      <c r="F495" s="41"/>
      <c r="J495" s="38"/>
    </row>
    <row r="496" spans="2:10" x14ac:dyDescent="0.35">
      <c r="B496" s="4"/>
      <c r="C496" s="4"/>
      <c r="D496" s="44"/>
      <c r="E496" s="42"/>
      <c r="F496" s="41"/>
      <c r="J496" s="38"/>
    </row>
    <row r="497" spans="2:10" x14ac:dyDescent="0.35">
      <c r="B497" s="4"/>
      <c r="C497" s="4"/>
      <c r="D497" s="44"/>
      <c r="E497" s="42"/>
      <c r="F497" s="41"/>
      <c r="J497" s="38"/>
    </row>
    <row r="498" spans="2:10" x14ac:dyDescent="0.35">
      <c r="B498" s="4"/>
      <c r="C498" s="4"/>
      <c r="D498" s="44"/>
      <c r="E498" s="42"/>
      <c r="F498" s="41"/>
      <c r="J498" s="38"/>
    </row>
    <row r="499" spans="2:10" x14ac:dyDescent="0.35">
      <c r="B499" s="4"/>
      <c r="C499" s="4"/>
      <c r="D499" s="44"/>
      <c r="E499" s="42"/>
      <c r="F499" s="41"/>
      <c r="J499" s="38"/>
    </row>
    <row r="500" spans="2:10" x14ac:dyDescent="0.35">
      <c r="B500" s="4"/>
      <c r="C500" s="4"/>
      <c r="D500" s="44"/>
      <c r="E500" s="42"/>
      <c r="F500" s="41"/>
      <c r="J500" s="38"/>
    </row>
    <row r="501" spans="2:10" x14ac:dyDescent="0.35">
      <c r="B501" s="4"/>
      <c r="C501" s="4"/>
      <c r="D501" s="44"/>
      <c r="E501" s="42"/>
      <c r="F501" s="41"/>
      <c r="J501" s="38"/>
    </row>
    <row r="502" spans="2:10" x14ac:dyDescent="0.35">
      <c r="B502" s="4"/>
      <c r="C502" s="4"/>
      <c r="D502" s="44"/>
      <c r="E502" s="42"/>
      <c r="F502" s="41"/>
      <c r="J502" s="38"/>
    </row>
    <row r="503" spans="2:10" x14ac:dyDescent="0.35">
      <c r="B503" s="4"/>
      <c r="C503" s="4"/>
      <c r="D503" s="44"/>
      <c r="E503" s="42"/>
      <c r="F503" s="41"/>
      <c r="J503" s="38"/>
    </row>
    <row r="504" spans="2:10" x14ac:dyDescent="0.35">
      <c r="B504" s="4"/>
      <c r="C504" s="4"/>
      <c r="D504" s="44"/>
      <c r="E504" s="42"/>
      <c r="F504" s="41"/>
      <c r="J504" s="38"/>
    </row>
    <row r="505" spans="2:10" x14ac:dyDescent="0.35">
      <c r="B505" s="4"/>
      <c r="C505" s="4"/>
      <c r="D505" s="44"/>
      <c r="E505" s="42"/>
      <c r="F505" s="41"/>
      <c r="J505" s="38"/>
    </row>
    <row r="506" spans="2:10" x14ac:dyDescent="0.35">
      <c r="B506" s="4"/>
      <c r="C506" s="4"/>
      <c r="D506" s="44"/>
      <c r="E506" s="42"/>
      <c r="F506" s="41"/>
      <c r="J506" s="38"/>
    </row>
    <row r="507" spans="2:10" x14ac:dyDescent="0.35">
      <c r="B507" s="4"/>
      <c r="C507" s="4"/>
      <c r="D507" s="44"/>
      <c r="E507" s="42"/>
      <c r="F507" s="41"/>
      <c r="J507" s="38"/>
    </row>
    <row r="508" spans="2:10" x14ac:dyDescent="0.35">
      <c r="B508" s="4"/>
      <c r="C508" s="4"/>
      <c r="D508" s="44"/>
      <c r="E508" s="42"/>
      <c r="F508" s="41"/>
      <c r="J508" s="38"/>
    </row>
    <row r="509" spans="2:10" x14ac:dyDescent="0.35">
      <c r="B509" s="4"/>
      <c r="C509" s="4"/>
      <c r="D509" s="44"/>
      <c r="E509" s="42"/>
      <c r="F509" s="41"/>
      <c r="J509" s="38"/>
    </row>
    <row r="510" spans="2:10" x14ac:dyDescent="0.35">
      <c r="B510" s="4"/>
      <c r="C510" s="4"/>
      <c r="D510" s="44"/>
      <c r="E510" s="42"/>
      <c r="F510" s="41"/>
      <c r="J510" s="38"/>
    </row>
    <row r="511" spans="2:10" x14ac:dyDescent="0.35">
      <c r="B511" s="4"/>
      <c r="C511" s="4"/>
      <c r="D511" s="44"/>
      <c r="E511" s="42"/>
      <c r="F511" s="41"/>
      <c r="J511" s="38"/>
    </row>
    <row r="512" spans="2:10" x14ac:dyDescent="0.35">
      <c r="B512" s="4"/>
      <c r="C512" s="4"/>
      <c r="D512" s="44"/>
      <c r="E512" s="42"/>
      <c r="F512" s="41"/>
      <c r="J512" s="38"/>
    </row>
    <row r="513" spans="2:10" x14ac:dyDescent="0.35">
      <c r="B513" s="4"/>
      <c r="C513" s="4"/>
      <c r="D513" s="44"/>
      <c r="E513" s="42"/>
      <c r="F513" s="41"/>
      <c r="J513" s="38"/>
    </row>
    <row r="514" spans="2:10" x14ac:dyDescent="0.35">
      <c r="B514" s="4"/>
      <c r="C514" s="4"/>
      <c r="D514" s="44"/>
      <c r="E514" s="42"/>
      <c r="F514" s="41"/>
      <c r="J514" s="38"/>
    </row>
    <row r="515" spans="2:10" x14ac:dyDescent="0.35">
      <c r="B515" s="4"/>
      <c r="C515" s="4"/>
      <c r="D515" s="44"/>
      <c r="E515" s="42"/>
      <c r="F515" s="41"/>
      <c r="J515" s="38"/>
    </row>
    <row r="516" spans="2:10" x14ac:dyDescent="0.35">
      <c r="B516" s="4"/>
      <c r="C516" s="4"/>
      <c r="D516" s="44"/>
      <c r="E516" s="42"/>
      <c r="F516" s="41"/>
      <c r="J516" s="38"/>
    </row>
    <row r="517" spans="2:10" x14ac:dyDescent="0.35">
      <c r="B517" s="4"/>
      <c r="C517" s="4"/>
      <c r="D517" s="44"/>
      <c r="E517" s="42"/>
      <c r="F517" s="41"/>
      <c r="J517" s="38"/>
    </row>
    <row r="518" spans="2:10" x14ac:dyDescent="0.35">
      <c r="B518" s="4"/>
      <c r="C518" s="4"/>
      <c r="D518" s="44"/>
      <c r="E518" s="42"/>
      <c r="F518" s="41"/>
      <c r="J518" s="38"/>
    </row>
    <row r="519" spans="2:10" x14ac:dyDescent="0.35">
      <c r="B519" s="4"/>
      <c r="C519" s="4"/>
      <c r="D519" s="44"/>
      <c r="E519" s="42"/>
      <c r="F519" s="41"/>
      <c r="J519" s="38"/>
    </row>
    <row r="520" spans="2:10" x14ac:dyDescent="0.35">
      <c r="B520" s="4"/>
      <c r="C520" s="4"/>
      <c r="D520" s="44"/>
      <c r="E520" s="42"/>
      <c r="F520" s="41"/>
      <c r="J520" s="38"/>
    </row>
    <row r="521" spans="2:10" x14ac:dyDescent="0.35">
      <c r="B521" s="4"/>
      <c r="C521" s="4"/>
      <c r="D521" s="44"/>
      <c r="E521" s="42"/>
      <c r="F521" s="41"/>
      <c r="J521" s="38"/>
    </row>
    <row r="522" spans="2:10" x14ac:dyDescent="0.35">
      <c r="B522" s="4"/>
      <c r="C522" s="4"/>
      <c r="D522" s="44"/>
      <c r="E522" s="42"/>
      <c r="F522" s="41"/>
      <c r="J522" s="38"/>
    </row>
    <row r="523" spans="2:10" x14ac:dyDescent="0.35">
      <c r="B523" s="4"/>
      <c r="C523" s="4"/>
      <c r="D523" s="44"/>
      <c r="E523" s="42"/>
      <c r="F523" s="41"/>
      <c r="J523" s="38"/>
    </row>
    <row r="524" spans="2:10" x14ac:dyDescent="0.35">
      <c r="B524" s="4"/>
      <c r="C524" s="4"/>
      <c r="D524" s="44"/>
      <c r="E524" s="42"/>
      <c r="F524" s="41"/>
      <c r="J524" s="38"/>
    </row>
    <row r="525" spans="2:10" x14ac:dyDescent="0.35">
      <c r="B525" s="4"/>
      <c r="C525" s="4"/>
      <c r="D525" s="44"/>
      <c r="E525" s="42"/>
      <c r="F525" s="41"/>
      <c r="J525" s="38"/>
    </row>
    <row r="526" spans="2:10" x14ac:dyDescent="0.35">
      <c r="B526" s="4"/>
      <c r="C526" s="4"/>
      <c r="D526" s="44"/>
      <c r="E526" s="42"/>
      <c r="F526" s="41"/>
      <c r="J526" s="38"/>
    </row>
    <row r="527" spans="2:10" x14ac:dyDescent="0.35">
      <c r="B527" s="4"/>
      <c r="C527" s="4"/>
      <c r="D527" s="44"/>
      <c r="E527" s="42"/>
      <c r="F527" s="41"/>
      <c r="J527" s="38"/>
    </row>
    <row r="528" spans="2:10" x14ac:dyDescent="0.35">
      <c r="B528" s="4"/>
      <c r="C528" s="4"/>
      <c r="D528" s="44"/>
      <c r="E528" s="42"/>
      <c r="F528" s="41"/>
      <c r="J528" s="38"/>
    </row>
    <row r="529" spans="2:10" x14ac:dyDescent="0.35">
      <c r="B529" s="4"/>
      <c r="C529" s="4"/>
      <c r="D529" s="44"/>
      <c r="E529" s="42"/>
      <c r="F529" s="41"/>
      <c r="J529" s="38"/>
    </row>
    <row r="530" spans="2:10" x14ac:dyDescent="0.35">
      <c r="B530" s="4"/>
      <c r="C530" s="4"/>
      <c r="D530" s="44"/>
      <c r="E530" s="42"/>
      <c r="F530" s="41"/>
      <c r="J530" s="38"/>
    </row>
    <row r="531" spans="2:10" x14ac:dyDescent="0.35">
      <c r="B531" s="4"/>
      <c r="C531" s="4"/>
      <c r="D531" s="44"/>
      <c r="E531" s="42"/>
      <c r="F531" s="41"/>
      <c r="J531" s="38"/>
    </row>
    <row r="532" spans="2:10" x14ac:dyDescent="0.35">
      <c r="B532" s="4"/>
      <c r="C532" s="4"/>
      <c r="D532" s="44"/>
      <c r="E532" s="42"/>
      <c r="F532" s="41"/>
      <c r="J532" s="38"/>
    </row>
    <row r="533" spans="2:10" x14ac:dyDescent="0.35">
      <c r="B533" s="4"/>
      <c r="C533" s="4"/>
      <c r="D533" s="44"/>
      <c r="E533" s="42"/>
      <c r="F533" s="41"/>
    </row>
    <row r="534" spans="2:10" x14ac:dyDescent="0.35">
      <c r="B534" s="4"/>
      <c r="C534" s="4"/>
      <c r="D534" s="44"/>
      <c r="E534" s="42"/>
      <c r="F534" s="41"/>
    </row>
    <row r="535" spans="2:10" x14ac:dyDescent="0.35">
      <c r="B535" s="4"/>
      <c r="C535" s="4"/>
      <c r="D535" s="44"/>
      <c r="E535" s="42"/>
      <c r="F535" s="41"/>
    </row>
    <row r="536" spans="2:10" x14ac:dyDescent="0.35">
      <c r="B536" s="4"/>
      <c r="C536" s="4"/>
      <c r="D536" s="44"/>
      <c r="E536" s="42"/>
      <c r="F536" s="41"/>
    </row>
    <row r="537" spans="2:10" x14ac:dyDescent="0.35">
      <c r="B537" s="4"/>
      <c r="C537" s="4"/>
      <c r="D537" s="44"/>
      <c r="E537" s="42"/>
      <c r="F537" s="41"/>
    </row>
    <row r="538" spans="2:10" x14ac:dyDescent="0.35">
      <c r="B538" s="4"/>
      <c r="C538" s="4"/>
      <c r="D538" s="44"/>
      <c r="E538" s="42"/>
      <c r="F538" s="41"/>
    </row>
    <row r="539" spans="2:10" x14ac:dyDescent="0.35">
      <c r="B539" s="4"/>
      <c r="C539" s="4"/>
      <c r="D539" s="44"/>
      <c r="E539" s="42"/>
      <c r="F539" s="41"/>
    </row>
    <row r="540" spans="2:10" x14ac:dyDescent="0.35">
      <c r="B540" s="4"/>
      <c r="C540" s="4"/>
      <c r="D540" s="44"/>
      <c r="E540" s="42"/>
      <c r="F540" s="41"/>
    </row>
    <row r="541" spans="2:10" x14ac:dyDescent="0.35">
      <c r="B541" s="4"/>
      <c r="C541" s="4"/>
      <c r="D541" s="44"/>
      <c r="E541" s="42"/>
      <c r="F541" s="41"/>
    </row>
    <row r="542" spans="2:10" x14ac:dyDescent="0.35">
      <c r="B542" s="4"/>
      <c r="C542" s="4"/>
      <c r="D542" s="44"/>
      <c r="E542" s="42"/>
      <c r="F542" s="41"/>
    </row>
    <row r="543" spans="2:10" x14ac:dyDescent="0.35">
      <c r="B543" s="4"/>
      <c r="C543" s="4"/>
      <c r="D543" s="44"/>
      <c r="E543" s="42"/>
      <c r="F543" s="41"/>
    </row>
    <row r="544" spans="2:10" x14ac:dyDescent="0.35">
      <c r="B544" s="4"/>
      <c r="C544" s="4"/>
      <c r="D544" s="44"/>
      <c r="E544" s="42"/>
      <c r="F544" s="41"/>
    </row>
    <row r="545" spans="2:6" x14ac:dyDescent="0.35">
      <c r="B545" s="4"/>
      <c r="C545" s="4"/>
      <c r="D545" s="44"/>
      <c r="E545" s="42"/>
      <c r="F545" s="41"/>
    </row>
    <row r="546" spans="2:6" x14ac:dyDescent="0.35">
      <c r="B546" s="4"/>
      <c r="C546" s="4"/>
      <c r="D546" s="44"/>
      <c r="E546" s="42"/>
      <c r="F546" s="41"/>
    </row>
    <row r="547" spans="2:6" x14ac:dyDescent="0.35">
      <c r="B547" s="4"/>
      <c r="C547" s="4"/>
      <c r="D547" s="44"/>
      <c r="E547" s="42"/>
      <c r="F547" s="41"/>
    </row>
    <row r="548" spans="2:6" x14ac:dyDescent="0.35">
      <c r="B548" s="4"/>
      <c r="C548" s="4"/>
      <c r="D548" s="44"/>
      <c r="E548" s="42"/>
      <c r="F548" s="41"/>
    </row>
    <row r="549" spans="2:6" x14ac:dyDescent="0.35">
      <c r="B549" s="4"/>
      <c r="C549" s="4"/>
      <c r="D549" s="44"/>
      <c r="E549" s="42"/>
      <c r="F549" s="41"/>
    </row>
    <row r="550" spans="2:6" x14ac:dyDescent="0.35">
      <c r="B550" s="4"/>
      <c r="C550" s="4"/>
      <c r="D550" s="44"/>
      <c r="E550" s="42"/>
      <c r="F550" s="41"/>
    </row>
    <row r="551" spans="2:6" x14ac:dyDescent="0.35">
      <c r="B551" s="4"/>
      <c r="C551" s="4"/>
      <c r="D551" s="44"/>
      <c r="E551" s="42"/>
      <c r="F551" s="41"/>
    </row>
    <row r="552" spans="2:6" x14ac:dyDescent="0.35">
      <c r="B552" s="4"/>
      <c r="C552" s="4"/>
      <c r="D552" s="44"/>
      <c r="E552" s="42"/>
      <c r="F552" s="41"/>
    </row>
    <row r="553" spans="2:6" x14ac:dyDescent="0.35">
      <c r="B553" s="4"/>
      <c r="C553" s="4"/>
      <c r="D553" s="44"/>
      <c r="E553" s="42"/>
      <c r="F553" s="41"/>
    </row>
    <row r="554" spans="2:6" x14ac:dyDescent="0.35">
      <c r="B554" s="4"/>
      <c r="C554" s="4"/>
      <c r="D554" s="44"/>
      <c r="E554" s="42"/>
      <c r="F554" s="41"/>
    </row>
    <row r="555" spans="2:6" x14ac:dyDescent="0.35">
      <c r="B555" s="4"/>
      <c r="C555" s="4"/>
      <c r="D555" s="44"/>
      <c r="E555" s="42"/>
      <c r="F555" s="41"/>
    </row>
    <row r="556" spans="2:6" x14ac:dyDescent="0.35">
      <c r="B556" s="4"/>
      <c r="C556" s="4"/>
      <c r="D556" s="44"/>
      <c r="E556" s="42"/>
      <c r="F556" s="41"/>
    </row>
    <row r="557" spans="2:6" x14ac:dyDescent="0.35">
      <c r="B557" s="4"/>
      <c r="C557" s="4"/>
      <c r="D557" s="44"/>
      <c r="E557" s="42"/>
      <c r="F557" s="41"/>
    </row>
    <row r="558" spans="2:6" x14ac:dyDescent="0.35">
      <c r="B558" s="4"/>
      <c r="C558" s="4"/>
      <c r="D558" s="44"/>
      <c r="E558" s="42"/>
      <c r="F558" s="41"/>
    </row>
    <row r="559" spans="2:6" x14ac:dyDescent="0.35">
      <c r="B559" s="4"/>
      <c r="C559" s="4"/>
      <c r="D559" s="44"/>
      <c r="E559" s="42"/>
      <c r="F559" s="41"/>
    </row>
    <row r="560" spans="2:6" x14ac:dyDescent="0.35">
      <c r="B560" s="4"/>
      <c r="C560" s="4"/>
      <c r="D560" s="44"/>
      <c r="E560" s="42"/>
      <c r="F560" s="41"/>
    </row>
    <row r="561" spans="2:6" x14ac:dyDescent="0.35">
      <c r="B561" s="4"/>
      <c r="C561" s="4"/>
      <c r="D561" s="44"/>
      <c r="E561" s="42"/>
      <c r="F561" s="41"/>
    </row>
    <row r="562" spans="2:6" x14ac:dyDescent="0.35">
      <c r="B562" s="4"/>
      <c r="C562" s="4"/>
      <c r="D562" s="44"/>
      <c r="E562" s="42"/>
      <c r="F562" s="41"/>
    </row>
    <row r="563" spans="2:6" x14ac:dyDescent="0.35">
      <c r="B563" s="4"/>
      <c r="C563" s="4"/>
      <c r="D563" s="44"/>
      <c r="E563" s="42"/>
      <c r="F563" s="41"/>
    </row>
    <row r="564" spans="2:6" x14ac:dyDescent="0.35">
      <c r="B564" s="4"/>
      <c r="C564" s="4"/>
      <c r="D564" s="44"/>
      <c r="E564" s="42"/>
      <c r="F564" s="41"/>
    </row>
    <row r="565" spans="2:6" x14ac:dyDescent="0.35">
      <c r="B565" s="4"/>
      <c r="C565" s="4"/>
      <c r="D565" s="44"/>
      <c r="E565" s="42"/>
      <c r="F565" s="41"/>
    </row>
    <row r="566" spans="2:6" x14ac:dyDescent="0.35">
      <c r="B566" s="4"/>
      <c r="C566" s="4"/>
      <c r="D566" s="44"/>
      <c r="E566" s="42"/>
      <c r="F566" s="41"/>
    </row>
    <row r="567" spans="2:6" x14ac:dyDescent="0.35">
      <c r="B567" s="4"/>
      <c r="C567" s="4"/>
      <c r="D567" s="44"/>
      <c r="E567" s="42"/>
      <c r="F567" s="41"/>
    </row>
    <row r="568" spans="2:6" x14ac:dyDescent="0.35">
      <c r="B568" s="4"/>
      <c r="C568" s="4"/>
      <c r="D568" s="44"/>
      <c r="E568" s="42"/>
      <c r="F568" s="41"/>
    </row>
    <row r="569" spans="2:6" x14ac:dyDescent="0.35">
      <c r="B569" s="4"/>
      <c r="C569" s="4"/>
      <c r="D569" s="44"/>
      <c r="E569" s="42"/>
      <c r="F569" s="41"/>
    </row>
    <row r="570" spans="2:6" x14ac:dyDescent="0.35">
      <c r="B570" s="4"/>
      <c r="C570" s="4"/>
      <c r="D570" s="44"/>
      <c r="E570" s="42"/>
      <c r="F570" s="41"/>
    </row>
    <row r="571" spans="2:6" x14ac:dyDescent="0.35">
      <c r="B571" s="4"/>
      <c r="C571" s="4"/>
      <c r="D571" s="44"/>
      <c r="E571" s="42"/>
      <c r="F571" s="41"/>
    </row>
    <row r="572" spans="2:6" x14ac:dyDescent="0.35">
      <c r="B572" s="4"/>
      <c r="C572" s="4"/>
      <c r="D572" s="44"/>
      <c r="E572" s="42"/>
      <c r="F572" s="41"/>
    </row>
    <row r="573" spans="2:6" x14ac:dyDescent="0.35">
      <c r="B573" s="4"/>
      <c r="C573" s="4"/>
      <c r="D573" s="44"/>
      <c r="E573" s="42"/>
      <c r="F573" s="41"/>
    </row>
    <row r="574" spans="2:6" x14ac:dyDescent="0.35">
      <c r="B574" s="4"/>
      <c r="C574" s="4"/>
      <c r="D574" s="44"/>
      <c r="E574" s="42"/>
      <c r="F574" s="41"/>
    </row>
    <row r="575" spans="2:6" x14ac:dyDescent="0.35">
      <c r="B575" s="4"/>
      <c r="C575" s="4"/>
      <c r="D575" s="44"/>
      <c r="E575" s="42"/>
      <c r="F575" s="41"/>
    </row>
    <row r="576" spans="2:6" x14ac:dyDescent="0.35">
      <c r="B576" s="4"/>
      <c r="C576" s="4"/>
      <c r="D576" s="44"/>
      <c r="E576" s="42"/>
      <c r="F576" s="41"/>
    </row>
    <row r="577" spans="2:6" x14ac:dyDescent="0.35">
      <c r="B577" s="4"/>
      <c r="C577" s="4"/>
      <c r="D577" s="44"/>
      <c r="E577" s="42"/>
      <c r="F577" s="41"/>
    </row>
    <row r="578" spans="2:6" x14ac:dyDescent="0.35">
      <c r="B578" s="4"/>
      <c r="C578" s="4"/>
      <c r="D578" s="44"/>
      <c r="E578" s="42"/>
      <c r="F578" s="41"/>
    </row>
    <row r="579" spans="2:6" x14ac:dyDescent="0.35">
      <c r="B579" s="4"/>
      <c r="C579" s="4"/>
      <c r="D579" s="44"/>
      <c r="E579" s="42"/>
      <c r="F579" s="41"/>
    </row>
    <row r="580" spans="2:6" x14ac:dyDescent="0.35">
      <c r="B580" s="4"/>
      <c r="C580" s="4"/>
      <c r="D580" s="44"/>
      <c r="E580" s="42"/>
      <c r="F580" s="41"/>
    </row>
    <row r="581" spans="2:6" x14ac:dyDescent="0.35">
      <c r="B581" s="4"/>
      <c r="C581" s="4"/>
      <c r="D581" s="44"/>
      <c r="E581" s="42"/>
      <c r="F581" s="41"/>
    </row>
    <row r="582" spans="2:6" x14ac:dyDescent="0.35">
      <c r="B582" s="4"/>
      <c r="C582" s="4"/>
      <c r="D582" s="44"/>
      <c r="E582" s="42"/>
      <c r="F582" s="41"/>
    </row>
    <row r="583" spans="2:6" x14ac:dyDescent="0.35">
      <c r="B583" s="4"/>
      <c r="C583" s="4"/>
      <c r="D583" s="44"/>
      <c r="E583" s="42"/>
      <c r="F583" s="41"/>
    </row>
    <row r="584" spans="2:6" x14ac:dyDescent="0.35">
      <c r="B584" s="4"/>
      <c r="C584" s="4"/>
      <c r="D584" s="44"/>
      <c r="E584" s="42"/>
      <c r="F584" s="41"/>
    </row>
    <row r="585" spans="2:6" x14ac:dyDescent="0.35">
      <c r="B585" s="4"/>
      <c r="C585" s="4"/>
      <c r="D585" s="44"/>
      <c r="E585" s="42"/>
      <c r="F585" s="41"/>
    </row>
    <row r="586" spans="2:6" x14ac:dyDescent="0.35">
      <c r="B586" s="4"/>
      <c r="C586" s="4"/>
      <c r="D586" s="44"/>
      <c r="E586" s="42"/>
    </row>
    <row r="587" spans="2:6" x14ac:dyDescent="0.35">
      <c r="B587" s="4"/>
      <c r="C587" s="4"/>
      <c r="D587" s="44"/>
      <c r="E587" s="42"/>
    </row>
    <row r="588" spans="2:6" x14ac:dyDescent="0.35">
      <c r="B588" s="4"/>
      <c r="C588" s="4"/>
      <c r="D588" s="44"/>
      <c r="E588" s="42"/>
    </row>
    <row r="589" spans="2:6" x14ac:dyDescent="0.35">
      <c r="B589" s="4"/>
      <c r="C589" s="4"/>
      <c r="D589" s="44"/>
      <c r="E589" s="42"/>
    </row>
    <row r="590" spans="2:6" x14ac:dyDescent="0.35">
      <c r="B590" s="4"/>
      <c r="C590" s="4"/>
      <c r="D590" s="44"/>
      <c r="E590" s="42"/>
    </row>
    <row r="591" spans="2:6" x14ac:dyDescent="0.35">
      <c r="B591" s="4"/>
      <c r="C591" s="4"/>
      <c r="D591" s="44"/>
      <c r="E591" s="42"/>
    </row>
    <row r="592" spans="2:6" x14ac:dyDescent="0.35">
      <c r="B592" s="4"/>
      <c r="C592" s="4"/>
      <c r="D592" s="44"/>
      <c r="E592" s="42"/>
    </row>
    <row r="593" spans="2:5" x14ac:dyDescent="0.35">
      <c r="B593" s="4"/>
      <c r="C593" s="4"/>
      <c r="D593" s="44"/>
      <c r="E593" s="42"/>
    </row>
    <row r="594" spans="2:5" x14ac:dyDescent="0.35">
      <c r="B594" s="4"/>
      <c r="C594" s="4"/>
      <c r="D594" s="44"/>
      <c r="E594" s="42"/>
    </row>
    <row r="595" spans="2:5" x14ac:dyDescent="0.35">
      <c r="B595" s="4"/>
      <c r="C595" s="4"/>
      <c r="D595" s="44"/>
      <c r="E595" s="42"/>
    </row>
    <row r="596" spans="2:5" x14ac:dyDescent="0.35">
      <c r="B596" s="4"/>
      <c r="C596" s="4"/>
      <c r="D596" s="44"/>
      <c r="E596" s="42"/>
    </row>
    <row r="597" spans="2:5" x14ac:dyDescent="0.35">
      <c r="B597" s="4"/>
      <c r="C597" s="4"/>
      <c r="D597" s="44"/>
      <c r="E597" s="42"/>
    </row>
    <row r="598" spans="2:5" x14ac:dyDescent="0.35">
      <c r="B598" s="4"/>
      <c r="C598" s="4"/>
      <c r="D598" s="44"/>
      <c r="E598" s="42"/>
    </row>
    <row r="599" spans="2:5" x14ac:dyDescent="0.35">
      <c r="B599" s="4"/>
      <c r="C599" s="4"/>
      <c r="D599" s="44"/>
      <c r="E599" s="42"/>
    </row>
    <row r="600" spans="2:5" x14ac:dyDescent="0.35">
      <c r="B600" s="4"/>
      <c r="C600" s="4"/>
      <c r="D600" s="44"/>
      <c r="E600" s="42"/>
    </row>
    <row r="601" spans="2:5" x14ac:dyDescent="0.35">
      <c r="B601" s="4"/>
      <c r="C601" s="4"/>
      <c r="D601" s="44"/>
      <c r="E601" s="42"/>
    </row>
    <row r="602" spans="2:5" x14ac:dyDescent="0.35">
      <c r="B602" s="4"/>
      <c r="C602" s="4"/>
      <c r="D602" s="44"/>
      <c r="E602" s="42"/>
    </row>
    <row r="603" spans="2:5" x14ac:dyDescent="0.35">
      <c r="B603" s="4"/>
      <c r="C603" s="4"/>
      <c r="D603" s="44"/>
      <c r="E603" s="42"/>
    </row>
    <row r="604" spans="2:5" x14ac:dyDescent="0.35">
      <c r="B604" s="4"/>
      <c r="C604" s="4"/>
      <c r="D604" s="44"/>
      <c r="E604" s="42"/>
    </row>
    <row r="605" spans="2:5" x14ac:dyDescent="0.35">
      <c r="B605" s="4"/>
      <c r="C605" s="4"/>
      <c r="D605" s="44"/>
      <c r="E605" s="42"/>
    </row>
    <row r="606" spans="2:5" x14ac:dyDescent="0.35">
      <c r="B606" s="4"/>
      <c r="C606" s="4"/>
      <c r="D606" s="44"/>
      <c r="E606" s="42"/>
    </row>
    <row r="607" spans="2:5" x14ac:dyDescent="0.35">
      <c r="B607" s="4"/>
      <c r="C607" s="4"/>
      <c r="D607" s="44"/>
      <c r="E607" s="42"/>
    </row>
    <row r="608" spans="2:5" x14ac:dyDescent="0.35">
      <c r="B608" s="4"/>
      <c r="C608" s="4"/>
      <c r="D608" s="44"/>
      <c r="E608" s="42"/>
    </row>
    <row r="609" spans="2:5" x14ac:dyDescent="0.35">
      <c r="B609" s="4"/>
      <c r="C609" s="4"/>
      <c r="D609" s="44"/>
      <c r="E609" s="42"/>
    </row>
    <row r="610" spans="2:5" x14ac:dyDescent="0.35">
      <c r="B610" s="4"/>
      <c r="C610" s="4"/>
      <c r="D610" s="44"/>
      <c r="E610" s="42"/>
    </row>
    <row r="611" spans="2:5" x14ac:dyDescent="0.35">
      <c r="B611" s="4"/>
      <c r="C611" s="4"/>
      <c r="D611" s="44"/>
      <c r="E611" s="42"/>
    </row>
    <row r="612" spans="2:5" x14ac:dyDescent="0.35">
      <c r="B612" s="4"/>
      <c r="C612" s="4"/>
      <c r="D612" s="44"/>
      <c r="E612" s="42"/>
    </row>
    <row r="613" spans="2:5" x14ac:dyDescent="0.35">
      <c r="B613" s="4"/>
      <c r="C613" s="4"/>
      <c r="D613" s="44"/>
      <c r="E613" s="42"/>
    </row>
    <row r="614" spans="2:5" x14ac:dyDescent="0.35">
      <c r="B614" s="4"/>
      <c r="C614" s="4"/>
      <c r="D614" s="44"/>
      <c r="E614" s="42"/>
    </row>
    <row r="615" spans="2:5" x14ac:dyDescent="0.35">
      <c r="B615" s="4"/>
      <c r="C615" s="4"/>
      <c r="D615" s="44"/>
      <c r="E615" s="42"/>
    </row>
    <row r="616" spans="2:5" x14ac:dyDescent="0.35">
      <c r="B616" s="4"/>
      <c r="C616" s="4"/>
      <c r="D616" s="44"/>
      <c r="E616" s="42"/>
    </row>
    <row r="617" spans="2:5" x14ac:dyDescent="0.35">
      <c r="B617" s="4"/>
      <c r="C617" s="4"/>
      <c r="D617" s="44"/>
      <c r="E617" s="42"/>
    </row>
    <row r="618" spans="2:5" x14ac:dyDescent="0.35">
      <c r="B618" s="4"/>
      <c r="C618" s="4"/>
      <c r="D618" s="44"/>
      <c r="E618" s="42"/>
    </row>
    <row r="619" spans="2:5" x14ac:dyDescent="0.35">
      <c r="B619" s="4"/>
      <c r="C619" s="4"/>
      <c r="D619" s="44"/>
      <c r="E619" s="42"/>
    </row>
    <row r="620" spans="2:5" x14ac:dyDescent="0.35">
      <c r="B620" s="4"/>
      <c r="C620" s="4"/>
      <c r="D620" s="44"/>
      <c r="E620" s="42"/>
    </row>
    <row r="621" spans="2:5" x14ac:dyDescent="0.35">
      <c r="B621" s="4"/>
      <c r="C621" s="4"/>
      <c r="D621" s="44"/>
      <c r="E621" s="42"/>
    </row>
    <row r="622" spans="2:5" x14ac:dyDescent="0.35">
      <c r="B622" s="4"/>
      <c r="C622" s="4"/>
      <c r="D622" s="44"/>
      <c r="E622" s="42"/>
    </row>
    <row r="623" spans="2:5" x14ac:dyDescent="0.35">
      <c r="B623" s="4"/>
      <c r="C623" s="4"/>
      <c r="D623" s="44"/>
      <c r="E623" s="42"/>
    </row>
    <row r="624" spans="2:5" x14ac:dyDescent="0.35">
      <c r="B624" s="4"/>
      <c r="C624" s="4"/>
      <c r="D624" s="44"/>
      <c r="E624" s="42"/>
    </row>
    <row r="625" spans="2:5" x14ac:dyDescent="0.35">
      <c r="B625" s="4"/>
      <c r="C625" s="4"/>
      <c r="D625" s="44"/>
      <c r="E625" s="42"/>
    </row>
    <row r="626" spans="2:5" x14ac:dyDescent="0.35">
      <c r="B626" s="4"/>
      <c r="C626" s="4"/>
      <c r="D626" s="44"/>
      <c r="E626" s="42"/>
    </row>
    <row r="627" spans="2:5" x14ac:dyDescent="0.35">
      <c r="B627" s="4"/>
      <c r="C627" s="4"/>
      <c r="D627" s="44"/>
      <c r="E627" s="42"/>
    </row>
    <row r="628" spans="2:5" x14ac:dyDescent="0.35">
      <c r="B628" s="4"/>
      <c r="C628" s="4"/>
      <c r="D628" s="44"/>
      <c r="E628" s="42"/>
    </row>
    <row r="629" spans="2:5" x14ac:dyDescent="0.35">
      <c r="B629" s="4"/>
      <c r="C629" s="4"/>
      <c r="D629" s="44"/>
      <c r="E629" s="42"/>
    </row>
    <row r="630" spans="2:5" x14ac:dyDescent="0.35">
      <c r="B630" s="4"/>
      <c r="C630" s="4"/>
      <c r="D630" s="44"/>
      <c r="E630" s="42"/>
    </row>
    <row r="631" spans="2:5" x14ac:dyDescent="0.35">
      <c r="B631" s="4"/>
      <c r="C631" s="4"/>
      <c r="D631" s="44"/>
      <c r="E631" s="42"/>
    </row>
    <row r="632" spans="2:5" x14ac:dyDescent="0.35">
      <c r="B632" s="4"/>
      <c r="C632" s="4"/>
      <c r="D632" s="44"/>
      <c r="E632" s="42"/>
    </row>
    <row r="633" spans="2:5" x14ac:dyDescent="0.35">
      <c r="B633" s="4"/>
      <c r="C633" s="4"/>
      <c r="D633" s="44"/>
      <c r="E633" s="42"/>
    </row>
    <row r="634" spans="2:5" x14ac:dyDescent="0.35">
      <c r="B634" s="4"/>
      <c r="C634" s="4"/>
      <c r="D634" s="44"/>
      <c r="E634" s="42"/>
    </row>
    <row r="635" spans="2:5" x14ac:dyDescent="0.35">
      <c r="B635" s="4"/>
      <c r="C635" s="4"/>
      <c r="D635" s="44"/>
      <c r="E635" s="42"/>
    </row>
    <row r="636" spans="2:5" x14ac:dyDescent="0.35">
      <c r="B636" s="4"/>
      <c r="C636" s="4"/>
      <c r="D636" s="44"/>
      <c r="E636" s="42"/>
    </row>
    <row r="637" spans="2:5" x14ac:dyDescent="0.35">
      <c r="B637" s="4"/>
      <c r="C637" s="4"/>
      <c r="D637" s="44"/>
      <c r="E637" s="42"/>
    </row>
    <row r="638" spans="2:5" x14ac:dyDescent="0.35">
      <c r="B638" s="4"/>
      <c r="C638" s="4"/>
      <c r="D638" s="44"/>
      <c r="E638" s="42"/>
    </row>
    <row r="639" spans="2:5" x14ac:dyDescent="0.35">
      <c r="B639" s="5"/>
      <c r="C639" s="5"/>
      <c r="D639" s="45"/>
      <c r="E639" s="18"/>
    </row>
  </sheetData>
  <mergeCells count="8">
    <mergeCell ref="C9:G9"/>
    <mergeCell ref="B11:E11"/>
    <mergeCell ref="C32:D32"/>
    <mergeCell ref="C39:D44"/>
    <mergeCell ref="C12:E12"/>
    <mergeCell ref="C34:D34"/>
    <mergeCell ref="C33:D33"/>
    <mergeCell ref="B39:B42"/>
  </mergeCells>
  <conditionalFormatting sqref="F36:R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30F0-44D0-48EB-9680-5076D2326795}">
  <dimension ref="B9:R1119"/>
  <sheetViews>
    <sheetView tabSelected="1" topLeftCell="C1" zoomScale="90" zoomScaleNormal="90" workbookViewId="0">
      <selection activeCell="J35" sqref="J35"/>
    </sheetView>
  </sheetViews>
  <sheetFormatPr defaultRowHeight="14.5" x14ac:dyDescent="0.35"/>
  <cols>
    <col min="2" max="2" width="47.26953125" bestFit="1" customWidth="1"/>
    <col min="5" max="5" width="11.54296875" bestFit="1" customWidth="1"/>
    <col min="6" max="6" width="11.1796875" bestFit="1" customWidth="1"/>
    <col min="7" max="7" width="11.1796875" customWidth="1"/>
    <col min="8" max="11" width="11.1796875" bestFit="1" customWidth="1"/>
    <col min="12" max="13" width="9" bestFit="1" customWidth="1"/>
    <col min="14" max="14" width="9.1796875" customWidth="1"/>
    <col min="15" max="15" width="47.1796875" bestFit="1" customWidth="1"/>
    <col min="16" max="16" width="9.81640625" bestFit="1" customWidth="1"/>
  </cols>
  <sheetData>
    <row r="9" spans="2:15" ht="21" x14ac:dyDescent="0.5">
      <c r="B9" s="49" t="s">
        <v>18</v>
      </c>
      <c r="C9" s="105">
        <v>45903</v>
      </c>
      <c r="D9" s="105"/>
      <c r="E9" s="105"/>
      <c r="F9" s="105"/>
      <c r="G9" s="105"/>
      <c r="H9" s="105"/>
      <c r="I9" s="48"/>
      <c r="J9" s="48"/>
      <c r="K9" s="48"/>
      <c r="L9" s="48"/>
      <c r="M9" s="48"/>
      <c r="N9" s="48"/>
    </row>
    <row r="12" spans="2:15" x14ac:dyDescent="0.35">
      <c r="B12" s="20" t="s">
        <v>38</v>
      </c>
      <c r="C12" s="66"/>
      <c r="D12" s="67"/>
      <c r="E12" s="67"/>
      <c r="F12" s="67"/>
      <c r="G12" s="67"/>
      <c r="H12" s="67"/>
      <c r="I12" s="67"/>
    </row>
    <row r="13" spans="2:15" x14ac:dyDescent="0.35">
      <c r="B13" s="75"/>
      <c r="C13" s="76">
        <v>1</v>
      </c>
      <c r="D13" s="76">
        <v>2</v>
      </c>
      <c r="E13" s="77"/>
      <c r="F13" s="77"/>
      <c r="G13" s="77"/>
      <c r="H13" s="77"/>
      <c r="I13" s="67"/>
    </row>
    <row r="14" spans="2:15" x14ac:dyDescent="0.35">
      <c r="B14" s="3" t="s">
        <v>39</v>
      </c>
      <c r="C14" s="70">
        <v>23.83</v>
      </c>
      <c r="D14" s="70"/>
      <c r="E14" s="69"/>
      <c r="F14" s="69"/>
      <c r="G14" s="69"/>
      <c r="H14" s="69"/>
      <c r="I14" s="68"/>
    </row>
    <row r="15" spans="2:15" x14ac:dyDescent="0.35">
      <c r="B15" s="46" t="s">
        <v>40</v>
      </c>
      <c r="C15" s="72">
        <v>2.5999999999999999E-2</v>
      </c>
      <c r="D15" s="72"/>
      <c r="E15" s="99"/>
      <c r="F15" s="99"/>
      <c r="G15" s="99"/>
      <c r="H15" s="99"/>
      <c r="I15" s="69"/>
      <c r="O15" s="73"/>
    </row>
    <row r="16" spans="2:15" x14ac:dyDescent="0.35">
      <c r="B16" s="71" t="s">
        <v>41</v>
      </c>
      <c r="C16" s="96">
        <v>8</v>
      </c>
      <c r="D16" s="96"/>
      <c r="I16" s="69"/>
    </row>
    <row r="17" spans="2:18" x14ac:dyDescent="0.35">
      <c r="B17" s="46" t="s">
        <v>45</v>
      </c>
      <c r="C17" s="97">
        <v>15.54</v>
      </c>
      <c r="D17" s="98"/>
      <c r="E17" s="69"/>
      <c r="F17" s="69"/>
      <c r="G17" s="69"/>
      <c r="H17" s="69"/>
      <c r="I17" s="69"/>
    </row>
    <row r="19" spans="2:18" x14ac:dyDescent="0.35">
      <c r="B19" s="20" t="s">
        <v>15</v>
      </c>
      <c r="C19" s="21"/>
      <c r="D19" s="21"/>
      <c r="E19" s="131"/>
      <c r="F19" s="132"/>
      <c r="G19" s="133"/>
      <c r="H19" s="131"/>
      <c r="I19" s="132"/>
      <c r="J19" s="133"/>
    </row>
    <row r="20" spans="2:18" x14ac:dyDescent="0.35">
      <c r="B20" s="40"/>
      <c r="C20" s="109" t="s">
        <v>25</v>
      </c>
      <c r="D20" s="110"/>
      <c r="E20" s="128">
        <v>1</v>
      </c>
      <c r="F20" s="129"/>
      <c r="G20" s="130"/>
      <c r="H20" s="128">
        <v>2</v>
      </c>
      <c r="I20" s="129"/>
      <c r="J20" s="130"/>
      <c r="K20" s="68"/>
      <c r="L20" s="68"/>
      <c r="M20" s="68"/>
      <c r="N20" s="68"/>
      <c r="O20" s="68"/>
      <c r="P20" s="68"/>
      <c r="Q20" s="68"/>
      <c r="R20" s="68"/>
    </row>
    <row r="21" spans="2:18" x14ac:dyDescent="0.35">
      <c r="B21" s="43"/>
      <c r="C21" s="120" t="s">
        <v>26</v>
      </c>
      <c r="D21" s="121"/>
      <c r="E21" s="134"/>
      <c r="F21" s="135"/>
      <c r="G21" s="136"/>
      <c r="H21" s="36"/>
      <c r="I21" s="53"/>
      <c r="J21" s="53"/>
      <c r="K21" s="68"/>
      <c r="L21" s="68"/>
      <c r="M21" s="68"/>
      <c r="N21" s="68"/>
      <c r="O21" s="68"/>
      <c r="P21" s="68"/>
      <c r="Q21" s="68"/>
      <c r="R21" s="68"/>
    </row>
    <row r="22" spans="2:18" x14ac:dyDescent="0.35">
      <c r="B22" s="6"/>
      <c r="C22" s="118" t="s">
        <v>27</v>
      </c>
      <c r="D22" s="119"/>
      <c r="E22" s="137" t="s">
        <v>51</v>
      </c>
      <c r="F22" s="138"/>
      <c r="G22" s="139"/>
      <c r="H22" s="59"/>
      <c r="I22" s="60"/>
      <c r="J22" s="60"/>
      <c r="K22" s="77"/>
      <c r="L22" s="77"/>
      <c r="M22" s="77"/>
      <c r="N22" s="77"/>
      <c r="O22" s="77"/>
      <c r="P22" s="77"/>
      <c r="Q22" s="77"/>
      <c r="R22" s="77"/>
    </row>
    <row r="23" spans="2:18" x14ac:dyDescent="0.35">
      <c r="B23" s="13" t="s">
        <v>46</v>
      </c>
      <c r="C23" s="7" t="s">
        <v>16</v>
      </c>
      <c r="D23" s="8" t="s">
        <v>4</v>
      </c>
      <c r="E23" s="147">
        <f>C17*C14/100</f>
        <v>3.7031819999999995</v>
      </c>
      <c r="F23" s="147"/>
      <c r="G23" s="147"/>
      <c r="H23" s="140"/>
      <c r="I23" s="140"/>
      <c r="J23" s="140"/>
      <c r="K23" s="78"/>
      <c r="L23" s="78"/>
      <c r="M23" s="78"/>
      <c r="N23" s="78"/>
      <c r="O23" s="78"/>
      <c r="P23" s="78"/>
      <c r="Q23" s="78"/>
      <c r="R23" s="78"/>
    </row>
    <row r="24" spans="2:18" x14ac:dyDescent="0.35">
      <c r="B24" s="3" t="s">
        <v>34</v>
      </c>
      <c r="C24" s="2" t="s">
        <v>43</v>
      </c>
      <c r="D24" s="11" t="s">
        <v>42</v>
      </c>
      <c r="E24" s="143">
        <v>0</v>
      </c>
      <c r="F24" s="144"/>
      <c r="G24" s="145"/>
      <c r="H24" s="146"/>
      <c r="I24" s="146"/>
      <c r="J24" s="146"/>
      <c r="K24" s="10"/>
      <c r="L24" s="10"/>
      <c r="M24" s="10"/>
      <c r="N24" s="10"/>
      <c r="O24" s="10"/>
      <c r="P24" s="10"/>
      <c r="Q24" s="10"/>
      <c r="R24" s="10"/>
    </row>
    <row r="25" spans="2:18" x14ac:dyDescent="0.35">
      <c r="B25" s="3" t="s">
        <v>29</v>
      </c>
      <c r="C25" s="2" t="s">
        <v>5</v>
      </c>
      <c r="D25" s="11" t="s">
        <v>1</v>
      </c>
      <c r="E25" s="141">
        <v>1</v>
      </c>
      <c r="F25" s="141"/>
      <c r="G25" s="142"/>
      <c r="H25" s="124"/>
      <c r="I25" s="124"/>
      <c r="J25" s="124"/>
      <c r="K25" s="10"/>
      <c r="L25" s="10"/>
      <c r="M25" s="10"/>
      <c r="N25" s="10"/>
      <c r="O25" s="10"/>
      <c r="P25" s="10"/>
      <c r="Q25" s="10"/>
      <c r="R25" s="10"/>
    </row>
    <row r="26" spans="2:18" ht="21" x14ac:dyDescent="0.35">
      <c r="B26" s="9" t="s">
        <v>30</v>
      </c>
      <c r="C26" s="1" t="s">
        <v>0</v>
      </c>
      <c r="D26" s="12" t="s">
        <v>2</v>
      </c>
      <c r="E26" s="125">
        <f>E23*10^3/(((SUM(G28:G2008)-ABS(E24)*COUNT(G28:G2008))*E25)/(10^3))</f>
        <v>682.66841618557385</v>
      </c>
      <c r="F26" s="126"/>
      <c r="G26" s="127"/>
      <c r="H26" s="125" t="e">
        <f>H23*10^3/(((SUM(J28:J2008)-ABS(H24)*COUNT(J28:J2008))*H25)/(10^3))</f>
        <v>#DIV/0!</v>
      </c>
      <c r="I26" s="126"/>
      <c r="J26" s="127"/>
      <c r="K26" s="79"/>
      <c r="L26" s="79"/>
      <c r="M26" s="79"/>
      <c r="N26" s="79"/>
      <c r="O26" s="79"/>
      <c r="P26" s="79"/>
      <c r="Q26" s="79"/>
      <c r="R26" s="79"/>
    </row>
    <row r="27" spans="2:18" ht="14.5" customHeight="1" x14ac:dyDescent="0.35">
      <c r="B27" s="122" t="s">
        <v>31</v>
      </c>
      <c r="C27" s="111" t="s">
        <v>32</v>
      </c>
      <c r="D27" s="112"/>
      <c r="E27" s="95" t="s">
        <v>44</v>
      </c>
      <c r="F27" s="80" t="s">
        <v>47</v>
      </c>
      <c r="G27" s="81" t="s">
        <v>48</v>
      </c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2:18" x14ac:dyDescent="0.35">
      <c r="B28" s="123"/>
      <c r="C28" s="113"/>
      <c r="D28" s="114"/>
      <c r="E28" s="94">
        <v>-0.22</v>
      </c>
      <c r="F28">
        <f t="shared" ref="F28:F62" si="0">IF(E28&gt;0,E28,0)</f>
        <v>0</v>
      </c>
      <c r="G28" s="74">
        <f t="shared" ref="G28:G91" si="1">F28*EXP($C$15*(C$16-25))</f>
        <v>0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 spans="2:18" x14ac:dyDescent="0.35">
      <c r="B29" s="123"/>
      <c r="C29" s="113"/>
      <c r="D29" s="114"/>
      <c r="E29" s="94">
        <v>-0.22</v>
      </c>
      <c r="F29">
        <f t="shared" si="0"/>
        <v>0</v>
      </c>
      <c r="G29" s="74">
        <f t="shared" si="1"/>
        <v>0</v>
      </c>
      <c r="H29" s="74"/>
      <c r="I29" s="74"/>
      <c r="J29" s="51"/>
      <c r="K29" s="51"/>
      <c r="L29" s="51"/>
      <c r="M29" s="51"/>
      <c r="N29" s="51"/>
      <c r="O29" s="51"/>
      <c r="P29" s="51"/>
      <c r="Q29" s="51"/>
      <c r="R29" s="51"/>
    </row>
    <row r="30" spans="2:18" x14ac:dyDescent="0.35">
      <c r="B30" s="123"/>
      <c r="C30" s="113"/>
      <c r="D30" s="114"/>
      <c r="E30" s="94">
        <v>-0.22</v>
      </c>
      <c r="F30">
        <f t="shared" si="0"/>
        <v>0</v>
      </c>
      <c r="G30" s="74">
        <f t="shared" si="1"/>
        <v>0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2:18" x14ac:dyDescent="0.35">
      <c r="B31" s="4"/>
      <c r="C31" s="113"/>
      <c r="D31" s="114"/>
      <c r="E31" s="94">
        <v>-0.17</v>
      </c>
      <c r="F31">
        <f t="shared" si="0"/>
        <v>0</v>
      </c>
      <c r="G31" s="74">
        <f t="shared" si="1"/>
        <v>0</v>
      </c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2:18" x14ac:dyDescent="0.35">
      <c r="B32" s="4"/>
      <c r="C32" s="113"/>
      <c r="D32" s="114"/>
      <c r="E32" s="94">
        <v>-0.22</v>
      </c>
      <c r="F32">
        <f t="shared" si="0"/>
        <v>0</v>
      </c>
      <c r="G32" s="74">
        <f t="shared" si="1"/>
        <v>0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2:18" x14ac:dyDescent="0.35">
      <c r="B33" s="4"/>
      <c r="C33" s="4"/>
      <c r="D33" s="44"/>
      <c r="E33" s="94">
        <v>-0.22</v>
      </c>
      <c r="F33">
        <f t="shared" si="0"/>
        <v>0</v>
      </c>
      <c r="G33" s="74">
        <f t="shared" si="1"/>
        <v>0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2:18" x14ac:dyDescent="0.35">
      <c r="B34" s="4"/>
      <c r="C34" s="4"/>
      <c r="D34" s="44"/>
      <c r="E34" s="94">
        <v>-0.22</v>
      </c>
      <c r="F34">
        <f t="shared" si="0"/>
        <v>0</v>
      </c>
      <c r="G34" s="74">
        <f t="shared" si="1"/>
        <v>0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2:18" x14ac:dyDescent="0.35">
      <c r="B35" s="4"/>
      <c r="C35" s="4"/>
      <c r="D35" s="44"/>
      <c r="E35" s="94">
        <v>-0.22</v>
      </c>
      <c r="F35">
        <f t="shared" si="0"/>
        <v>0</v>
      </c>
      <c r="G35" s="74">
        <f t="shared" si="1"/>
        <v>0</v>
      </c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2:18" x14ac:dyDescent="0.35">
      <c r="B36" s="4"/>
      <c r="C36" s="4"/>
      <c r="D36" s="44"/>
      <c r="E36" s="94">
        <v>-0.22</v>
      </c>
      <c r="F36">
        <f t="shared" si="0"/>
        <v>0</v>
      </c>
      <c r="G36" s="74">
        <f t="shared" si="1"/>
        <v>0</v>
      </c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 spans="2:18" x14ac:dyDescent="0.35">
      <c r="B37" s="4"/>
      <c r="C37" s="4"/>
      <c r="D37" s="44"/>
      <c r="E37" s="94">
        <v>-0.22</v>
      </c>
      <c r="F37">
        <f t="shared" si="0"/>
        <v>0</v>
      </c>
      <c r="G37" s="74">
        <f t="shared" si="1"/>
        <v>0</v>
      </c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</row>
    <row r="38" spans="2:18" x14ac:dyDescent="0.35">
      <c r="B38" s="4"/>
      <c r="C38" s="4"/>
      <c r="D38" s="44"/>
      <c r="E38" s="94">
        <v>-0.17</v>
      </c>
      <c r="F38">
        <f t="shared" si="0"/>
        <v>0</v>
      </c>
      <c r="G38" s="74">
        <f t="shared" si="1"/>
        <v>0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2:18" x14ac:dyDescent="0.35">
      <c r="B39" s="4"/>
      <c r="C39" s="4"/>
      <c r="D39" s="44"/>
      <c r="E39" s="94">
        <v>-0.22</v>
      </c>
      <c r="F39">
        <f t="shared" si="0"/>
        <v>0</v>
      </c>
      <c r="G39" s="74">
        <f t="shared" si="1"/>
        <v>0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2:18" x14ac:dyDescent="0.35">
      <c r="B40" s="4"/>
      <c r="C40" s="4"/>
      <c r="D40" s="44"/>
      <c r="E40" s="94">
        <v>-0.22</v>
      </c>
      <c r="F40">
        <f t="shared" si="0"/>
        <v>0</v>
      </c>
      <c r="G40" s="74">
        <f t="shared" si="1"/>
        <v>0</v>
      </c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 spans="2:18" x14ac:dyDescent="0.35">
      <c r="B41" s="4"/>
      <c r="C41" s="4"/>
      <c r="D41" s="44"/>
      <c r="E41" s="94">
        <v>-0.22</v>
      </c>
      <c r="F41">
        <f t="shared" si="0"/>
        <v>0</v>
      </c>
      <c r="G41" s="74">
        <f t="shared" si="1"/>
        <v>0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2:18" x14ac:dyDescent="0.35">
      <c r="B42" s="4"/>
      <c r="C42" s="4"/>
      <c r="D42" s="44"/>
      <c r="E42" s="94">
        <v>-0.17</v>
      </c>
      <c r="F42">
        <f t="shared" si="0"/>
        <v>0</v>
      </c>
      <c r="G42" s="74">
        <f t="shared" si="1"/>
        <v>0</v>
      </c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 spans="2:18" x14ac:dyDescent="0.35">
      <c r="B43" s="4"/>
      <c r="C43" s="4"/>
      <c r="D43" s="44"/>
      <c r="E43" s="94">
        <v>-0.22</v>
      </c>
      <c r="F43">
        <f t="shared" si="0"/>
        <v>0</v>
      </c>
      <c r="G43" s="74">
        <f t="shared" si="1"/>
        <v>0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2:18" x14ac:dyDescent="0.35">
      <c r="B44" s="4"/>
      <c r="C44" s="4"/>
      <c r="D44" s="44"/>
      <c r="E44" s="94">
        <v>-0.22</v>
      </c>
      <c r="F44">
        <f t="shared" si="0"/>
        <v>0</v>
      </c>
      <c r="G44" s="74">
        <f t="shared" si="1"/>
        <v>0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 spans="2:18" x14ac:dyDescent="0.35">
      <c r="B45" s="4"/>
      <c r="C45" s="4"/>
      <c r="D45" s="44"/>
      <c r="E45" s="94">
        <v>-0.22</v>
      </c>
      <c r="F45">
        <f t="shared" si="0"/>
        <v>0</v>
      </c>
      <c r="G45" s="74">
        <f t="shared" si="1"/>
        <v>0</v>
      </c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 spans="2:18" x14ac:dyDescent="0.35">
      <c r="B46" s="4"/>
      <c r="C46" s="4"/>
      <c r="D46" s="44"/>
      <c r="E46" s="94">
        <v>-0.22</v>
      </c>
      <c r="F46">
        <f t="shared" si="0"/>
        <v>0</v>
      </c>
      <c r="G46" s="74">
        <f t="shared" si="1"/>
        <v>0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2:18" x14ac:dyDescent="0.35">
      <c r="B47" s="4"/>
      <c r="C47" s="4"/>
      <c r="D47" s="44"/>
      <c r="E47" s="94">
        <v>-0.22</v>
      </c>
      <c r="F47">
        <f t="shared" si="0"/>
        <v>0</v>
      </c>
      <c r="G47" s="74">
        <f t="shared" si="1"/>
        <v>0</v>
      </c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2:18" x14ac:dyDescent="0.35">
      <c r="B48" s="4"/>
      <c r="C48" s="4"/>
      <c r="D48" s="44"/>
      <c r="E48" s="94">
        <v>-0.22</v>
      </c>
      <c r="F48">
        <f t="shared" si="0"/>
        <v>0</v>
      </c>
      <c r="G48" s="74">
        <f t="shared" si="1"/>
        <v>0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 spans="2:18" x14ac:dyDescent="0.35">
      <c r="B49" s="4"/>
      <c r="C49" s="4"/>
      <c r="D49" s="44"/>
      <c r="E49" s="94">
        <v>-0.22</v>
      </c>
      <c r="F49">
        <f t="shared" si="0"/>
        <v>0</v>
      </c>
      <c r="G49" s="74">
        <f t="shared" si="1"/>
        <v>0</v>
      </c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2:18" x14ac:dyDescent="0.35">
      <c r="B50" s="4"/>
      <c r="C50" s="4"/>
      <c r="D50" s="44"/>
      <c r="E50" s="94">
        <v>-0.22</v>
      </c>
      <c r="F50">
        <f t="shared" si="0"/>
        <v>0</v>
      </c>
      <c r="G50" s="74">
        <f t="shared" si="1"/>
        <v>0</v>
      </c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 spans="2:18" x14ac:dyDescent="0.35">
      <c r="B51" s="4"/>
      <c r="C51" s="4"/>
      <c r="D51" s="44"/>
      <c r="E51" s="94">
        <v>-0.13</v>
      </c>
      <c r="F51">
        <f t="shared" si="0"/>
        <v>0</v>
      </c>
      <c r="G51" s="74">
        <f t="shared" si="1"/>
        <v>0</v>
      </c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2" spans="2:18" x14ac:dyDescent="0.35">
      <c r="B52" s="4"/>
      <c r="C52" s="4"/>
      <c r="D52" s="44"/>
      <c r="E52" s="94">
        <v>-0.17</v>
      </c>
      <c r="F52">
        <f t="shared" si="0"/>
        <v>0</v>
      </c>
      <c r="G52" s="74">
        <f t="shared" si="1"/>
        <v>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 spans="2:18" x14ac:dyDescent="0.35">
      <c r="B53" s="4"/>
      <c r="C53" s="4"/>
      <c r="D53" s="44"/>
      <c r="E53" s="94">
        <v>-0.22</v>
      </c>
      <c r="F53">
        <f t="shared" si="0"/>
        <v>0</v>
      </c>
      <c r="G53" s="74">
        <f t="shared" si="1"/>
        <v>0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</row>
    <row r="54" spans="2:18" x14ac:dyDescent="0.35">
      <c r="B54" s="4"/>
      <c r="C54" s="4"/>
      <c r="D54" s="44"/>
      <c r="E54" s="94">
        <v>-0.22</v>
      </c>
      <c r="F54">
        <f t="shared" si="0"/>
        <v>0</v>
      </c>
      <c r="G54" s="74">
        <f t="shared" si="1"/>
        <v>0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x14ac:dyDescent="0.35">
      <c r="B55" s="4"/>
      <c r="C55" s="4"/>
      <c r="D55" s="44"/>
      <c r="E55" s="94">
        <v>-0.17</v>
      </c>
      <c r="F55">
        <f t="shared" si="0"/>
        <v>0</v>
      </c>
      <c r="G55" s="74">
        <f t="shared" si="1"/>
        <v>0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2:18" x14ac:dyDescent="0.35">
      <c r="B56" s="4"/>
      <c r="C56" s="4"/>
      <c r="D56" s="44"/>
      <c r="E56" s="94">
        <v>-0.17</v>
      </c>
      <c r="F56">
        <f t="shared" si="0"/>
        <v>0</v>
      </c>
      <c r="G56" s="74">
        <f t="shared" si="1"/>
        <v>0</v>
      </c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2:18" x14ac:dyDescent="0.35">
      <c r="B57" s="4"/>
      <c r="C57" s="4"/>
      <c r="D57" s="44"/>
      <c r="E57" s="94">
        <v>-0.17</v>
      </c>
      <c r="F57">
        <f t="shared" si="0"/>
        <v>0</v>
      </c>
      <c r="G57" s="74">
        <f t="shared" si="1"/>
        <v>0</v>
      </c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2:18" x14ac:dyDescent="0.35">
      <c r="B58" s="4"/>
      <c r="C58" s="4"/>
      <c r="D58" s="44"/>
      <c r="E58" s="94">
        <v>-0.22</v>
      </c>
      <c r="F58">
        <f t="shared" si="0"/>
        <v>0</v>
      </c>
      <c r="G58" s="74">
        <f t="shared" si="1"/>
        <v>0</v>
      </c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x14ac:dyDescent="0.35">
      <c r="B59" s="4"/>
      <c r="C59" s="4"/>
      <c r="D59" s="44"/>
      <c r="E59" s="94">
        <v>-0.13</v>
      </c>
      <c r="F59">
        <f t="shared" si="0"/>
        <v>0</v>
      </c>
      <c r="G59" s="74">
        <f t="shared" si="1"/>
        <v>0</v>
      </c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</row>
    <row r="60" spans="2:18" x14ac:dyDescent="0.35">
      <c r="B60" s="4"/>
      <c r="C60" s="4"/>
      <c r="D60" s="44"/>
      <c r="E60" s="94">
        <v>-0.22</v>
      </c>
      <c r="F60">
        <f t="shared" si="0"/>
        <v>0</v>
      </c>
      <c r="G60" s="74">
        <f t="shared" si="1"/>
        <v>0</v>
      </c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 spans="2:18" x14ac:dyDescent="0.35">
      <c r="B61" s="4"/>
      <c r="C61" s="4"/>
      <c r="D61" s="44"/>
      <c r="E61" s="94">
        <v>-0.22</v>
      </c>
      <c r="F61">
        <f t="shared" si="0"/>
        <v>0</v>
      </c>
      <c r="G61" s="74">
        <f t="shared" si="1"/>
        <v>0</v>
      </c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</row>
    <row r="62" spans="2:18" x14ac:dyDescent="0.35">
      <c r="B62" s="4"/>
      <c r="C62" s="4"/>
      <c r="D62" s="44"/>
      <c r="E62" s="94">
        <v>-0.22</v>
      </c>
      <c r="F62">
        <f t="shared" si="0"/>
        <v>0</v>
      </c>
      <c r="G62" s="74">
        <f t="shared" si="1"/>
        <v>0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</row>
    <row r="63" spans="2:18" x14ac:dyDescent="0.35">
      <c r="B63" s="4"/>
      <c r="C63" s="4"/>
      <c r="D63" s="44"/>
      <c r="E63" s="94">
        <v>-0.13</v>
      </c>
      <c r="F63">
        <f t="shared" ref="F63:F126" si="2">IF(E63&gt;0,E63,0)</f>
        <v>0</v>
      </c>
      <c r="G63" s="74">
        <f t="shared" si="1"/>
        <v>0</v>
      </c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 spans="2:18" x14ac:dyDescent="0.35">
      <c r="B64" s="4"/>
      <c r="C64" s="4"/>
      <c r="D64" s="44"/>
      <c r="E64" s="94">
        <v>-0.17</v>
      </c>
      <c r="F64">
        <f t="shared" si="2"/>
        <v>0</v>
      </c>
      <c r="G64" s="74">
        <f t="shared" si="1"/>
        <v>0</v>
      </c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</row>
    <row r="65" spans="2:18" x14ac:dyDescent="0.35">
      <c r="B65" s="4"/>
      <c r="C65" s="4"/>
      <c r="D65" s="44"/>
      <c r="E65" s="94">
        <v>-0.13</v>
      </c>
      <c r="F65">
        <f t="shared" si="2"/>
        <v>0</v>
      </c>
      <c r="G65" s="74">
        <f t="shared" si="1"/>
        <v>0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 spans="2:18" x14ac:dyDescent="0.35">
      <c r="B66" s="4"/>
      <c r="C66" s="4"/>
      <c r="D66" s="44"/>
      <c r="E66" s="94">
        <v>-0.17</v>
      </c>
      <c r="F66">
        <f t="shared" si="2"/>
        <v>0</v>
      </c>
      <c r="G66" s="74">
        <f t="shared" si="1"/>
        <v>0</v>
      </c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 spans="2:18" x14ac:dyDescent="0.35">
      <c r="B67" s="4"/>
      <c r="C67" s="4"/>
      <c r="D67" s="44"/>
      <c r="E67" s="94">
        <v>-0.17</v>
      </c>
      <c r="F67">
        <f t="shared" si="2"/>
        <v>0</v>
      </c>
      <c r="G67" s="74">
        <f t="shared" si="1"/>
        <v>0</v>
      </c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</row>
    <row r="68" spans="2:18" x14ac:dyDescent="0.35">
      <c r="B68" s="4"/>
      <c r="C68" s="4"/>
      <c r="D68" s="44"/>
      <c r="E68" s="94">
        <v>-0.09</v>
      </c>
      <c r="F68">
        <f t="shared" si="2"/>
        <v>0</v>
      </c>
      <c r="G68" s="74">
        <f t="shared" si="1"/>
        <v>0</v>
      </c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 spans="2:18" x14ac:dyDescent="0.35">
      <c r="B69" s="4"/>
      <c r="C69" s="4"/>
      <c r="D69" s="44"/>
      <c r="E69" s="94">
        <v>-0.22</v>
      </c>
      <c r="F69">
        <f t="shared" si="2"/>
        <v>0</v>
      </c>
      <c r="G69" s="74">
        <f t="shared" si="1"/>
        <v>0</v>
      </c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</row>
    <row r="70" spans="2:18" x14ac:dyDescent="0.35">
      <c r="B70" s="4"/>
      <c r="C70" s="4"/>
      <c r="D70" s="44"/>
      <c r="E70" s="94">
        <v>-0.22</v>
      </c>
      <c r="F70">
        <f t="shared" si="2"/>
        <v>0</v>
      </c>
      <c r="G70" s="74">
        <f t="shared" si="1"/>
        <v>0</v>
      </c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</row>
    <row r="71" spans="2:18" x14ac:dyDescent="0.35">
      <c r="B71" s="4"/>
      <c r="C71" s="4"/>
      <c r="D71" s="44"/>
      <c r="E71" s="94">
        <v>-0.22</v>
      </c>
      <c r="F71">
        <f t="shared" si="2"/>
        <v>0</v>
      </c>
      <c r="G71" s="74">
        <f t="shared" si="1"/>
        <v>0</v>
      </c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</row>
    <row r="72" spans="2:18" x14ac:dyDescent="0.35">
      <c r="B72" s="4"/>
      <c r="C72" s="4"/>
      <c r="D72" s="44"/>
      <c r="E72" s="94">
        <v>-0.22</v>
      </c>
      <c r="F72">
        <f t="shared" si="2"/>
        <v>0</v>
      </c>
      <c r="G72" s="74">
        <f t="shared" si="1"/>
        <v>0</v>
      </c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</row>
    <row r="73" spans="2:18" x14ac:dyDescent="0.35">
      <c r="B73" s="4"/>
      <c r="C73" s="4"/>
      <c r="D73" s="44"/>
      <c r="E73" s="94">
        <v>-0.22</v>
      </c>
      <c r="F73">
        <f t="shared" si="2"/>
        <v>0</v>
      </c>
      <c r="G73" s="74">
        <f t="shared" si="1"/>
        <v>0</v>
      </c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2:18" x14ac:dyDescent="0.35">
      <c r="B74" s="4"/>
      <c r="C74" s="4"/>
      <c r="D74" s="44"/>
      <c r="E74" s="94">
        <v>-0.22</v>
      </c>
      <c r="F74">
        <f t="shared" si="2"/>
        <v>0</v>
      </c>
      <c r="G74" s="74">
        <f t="shared" si="1"/>
        <v>0</v>
      </c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</row>
    <row r="75" spans="2:18" x14ac:dyDescent="0.35">
      <c r="B75" s="4"/>
      <c r="C75" s="4"/>
      <c r="D75" s="44"/>
      <c r="E75" s="94">
        <v>-0.22</v>
      </c>
      <c r="F75">
        <f t="shared" si="2"/>
        <v>0</v>
      </c>
      <c r="G75" s="74">
        <f t="shared" si="1"/>
        <v>0</v>
      </c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</row>
    <row r="76" spans="2:18" x14ac:dyDescent="0.35">
      <c r="B76" s="4"/>
      <c r="C76" s="4"/>
      <c r="D76" s="44"/>
      <c r="E76" s="94">
        <v>-0.22</v>
      </c>
      <c r="F76">
        <f t="shared" si="2"/>
        <v>0</v>
      </c>
      <c r="G76" s="74">
        <f t="shared" si="1"/>
        <v>0</v>
      </c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 spans="2:18" x14ac:dyDescent="0.35">
      <c r="B77" s="4"/>
      <c r="C77" s="4"/>
      <c r="D77" s="44"/>
      <c r="E77" s="94">
        <v>-0.22</v>
      </c>
      <c r="F77">
        <f t="shared" si="2"/>
        <v>0</v>
      </c>
      <c r="G77" s="74">
        <f t="shared" si="1"/>
        <v>0</v>
      </c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</row>
    <row r="78" spans="2:18" x14ac:dyDescent="0.35">
      <c r="B78" s="4"/>
      <c r="C78" s="4"/>
      <c r="D78" s="44"/>
      <c r="E78" s="94">
        <v>-0.22</v>
      </c>
      <c r="F78">
        <f t="shared" si="2"/>
        <v>0</v>
      </c>
      <c r="G78" s="74">
        <f t="shared" si="1"/>
        <v>0</v>
      </c>
      <c r="H78" s="51"/>
      <c r="I78" s="51"/>
      <c r="K78" s="51"/>
      <c r="L78" s="51"/>
      <c r="M78" s="51"/>
      <c r="N78" s="51"/>
      <c r="O78" s="51"/>
      <c r="P78" s="51"/>
      <c r="Q78" s="51"/>
      <c r="R78" s="51"/>
    </row>
    <row r="79" spans="2:18" x14ac:dyDescent="0.35">
      <c r="B79" s="4"/>
      <c r="C79" s="4"/>
      <c r="D79" s="44"/>
      <c r="E79" s="94">
        <v>-0.22</v>
      </c>
      <c r="F79">
        <f t="shared" si="2"/>
        <v>0</v>
      </c>
      <c r="G79" s="74">
        <f t="shared" si="1"/>
        <v>0</v>
      </c>
      <c r="H79" s="51"/>
      <c r="I79" s="51"/>
      <c r="K79" s="51"/>
      <c r="L79" s="51"/>
      <c r="M79" s="51"/>
      <c r="N79" s="51"/>
      <c r="O79" s="51"/>
      <c r="P79" s="51"/>
      <c r="Q79" s="51"/>
      <c r="R79" s="51"/>
    </row>
    <row r="80" spans="2:18" x14ac:dyDescent="0.35">
      <c r="B80" s="4"/>
      <c r="C80" s="4"/>
      <c r="D80" s="44"/>
      <c r="E80" s="94">
        <v>-0.22</v>
      </c>
      <c r="F80">
        <f t="shared" si="2"/>
        <v>0</v>
      </c>
      <c r="G80" s="74">
        <f t="shared" si="1"/>
        <v>0</v>
      </c>
      <c r="H80" s="51"/>
      <c r="I80" s="51"/>
      <c r="K80" s="51"/>
      <c r="L80" s="51"/>
      <c r="M80" s="51"/>
      <c r="N80" s="51"/>
      <c r="O80" s="51"/>
      <c r="P80" s="51"/>
      <c r="Q80" s="51"/>
      <c r="R80" s="51"/>
    </row>
    <row r="81" spans="2:18" x14ac:dyDescent="0.35">
      <c r="B81" s="4"/>
      <c r="C81" s="4"/>
      <c r="D81" s="44"/>
      <c r="E81" s="94">
        <v>-0.13</v>
      </c>
      <c r="F81">
        <f t="shared" si="2"/>
        <v>0</v>
      </c>
      <c r="G81" s="74">
        <f t="shared" si="1"/>
        <v>0</v>
      </c>
      <c r="H81" s="51"/>
      <c r="I81" s="51"/>
      <c r="K81" s="51"/>
      <c r="L81" s="51"/>
      <c r="M81" s="51"/>
      <c r="N81" s="51"/>
      <c r="O81" s="51"/>
      <c r="P81" s="51"/>
      <c r="Q81" s="51"/>
      <c r="R81" s="51"/>
    </row>
    <row r="82" spans="2:18" x14ac:dyDescent="0.35">
      <c r="B82" s="4"/>
      <c r="C82" s="4"/>
      <c r="D82" s="44"/>
      <c r="E82" s="94">
        <v>-0.22</v>
      </c>
      <c r="F82">
        <f t="shared" si="2"/>
        <v>0</v>
      </c>
      <c r="G82" s="74">
        <f t="shared" si="1"/>
        <v>0</v>
      </c>
      <c r="H82" s="51"/>
      <c r="I82" s="51"/>
      <c r="K82" s="51"/>
      <c r="L82" s="51"/>
      <c r="M82" s="51"/>
      <c r="N82" s="51"/>
      <c r="P82" s="51"/>
      <c r="Q82" s="51"/>
      <c r="R82" s="51"/>
    </row>
    <row r="83" spans="2:18" x14ac:dyDescent="0.35">
      <c r="B83" s="4"/>
      <c r="C83" s="4"/>
      <c r="D83" s="44"/>
      <c r="E83" s="94">
        <v>-0.22</v>
      </c>
      <c r="F83">
        <f t="shared" si="2"/>
        <v>0</v>
      </c>
      <c r="G83" s="74">
        <f t="shared" si="1"/>
        <v>0</v>
      </c>
      <c r="H83" s="51"/>
      <c r="I83" s="51"/>
      <c r="K83" s="51"/>
      <c r="L83" s="51"/>
      <c r="M83" s="51"/>
      <c r="N83" s="51"/>
      <c r="P83" s="51"/>
      <c r="Q83" s="51"/>
      <c r="R83" s="51"/>
    </row>
    <row r="84" spans="2:18" x14ac:dyDescent="0.35">
      <c r="B84" s="4"/>
      <c r="C84" s="4"/>
      <c r="D84" s="44"/>
      <c r="E84" s="94">
        <v>-0.22</v>
      </c>
      <c r="F84">
        <f t="shared" si="2"/>
        <v>0</v>
      </c>
      <c r="G84" s="74">
        <f t="shared" si="1"/>
        <v>0</v>
      </c>
      <c r="H84" s="51"/>
      <c r="I84" s="51"/>
      <c r="K84" s="51"/>
      <c r="L84" s="51"/>
      <c r="M84" s="51"/>
      <c r="N84" s="51"/>
      <c r="P84" s="51"/>
      <c r="Q84" s="51"/>
      <c r="R84" s="51"/>
    </row>
    <row r="85" spans="2:18" x14ac:dyDescent="0.35">
      <c r="B85" s="4"/>
      <c r="C85" s="4"/>
      <c r="D85" s="44"/>
      <c r="E85" s="94">
        <v>-0.17</v>
      </c>
      <c r="F85">
        <f t="shared" si="2"/>
        <v>0</v>
      </c>
      <c r="G85" s="74">
        <f t="shared" si="1"/>
        <v>0</v>
      </c>
      <c r="H85" s="51"/>
      <c r="I85" s="51"/>
      <c r="K85" s="51"/>
      <c r="L85" s="51"/>
      <c r="M85" s="51"/>
      <c r="N85" s="51"/>
      <c r="P85" s="51"/>
      <c r="Q85" s="51"/>
      <c r="R85" s="51"/>
    </row>
    <row r="86" spans="2:18" x14ac:dyDescent="0.35">
      <c r="B86" s="4"/>
      <c r="C86" s="4"/>
      <c r="D86" s="44"/>
      <c r="E86" s="94">
        <v>-0.22</v>
      </c>
      <c r="F86">
        <f t="shared" si="2"/>
        <v>0</v>
      </c>
      <c r="G86" s="74">
        <f t="shared" si="1"/>
        <v>0</v>
      </c>
      <c r="H86" s="51"/>
      <c r="I86" s="51"/>
      <c r="K86" s="51"/>
      <c r="L86" s="51"/>
      <c r="M86" s="51"/>
      <c r="N86" s="51"/>
      <c r="P86" s="51"/>
      <c r="Q86" s="51"/>
      <c r="R86" s="51"/>
    </row>
    <row r="87" spans="2:18" x14ac:dyDescent="0.35">
      <c r="B87" s="4"/>
      <c r="C87" s="4"/>
      <c r="D87" s="44"/>
      <c r="E87" s="94">
        <v>-0.22</v>
      </c>
      <c r="F87">
        <f t="shared" si="2"/>
        <v>0</v>
      </c>
      <c r="G87" s="74">
        <f t="shared" si="1"/>
        <v>0</v>
      </c>
      <c r="H87" s="51"/>
      <c r="I87" s="51"/>
      <c r="K87" s="51"/>
      <c r="L87" s="51"/>
      <c r="M87" s="51"/>
      <c r="N87" s="51"/>
      <c r="P87" s="51"/>
      <c r="Q87" s="51"/>
      <c r="R87" s="51"/>
    </row>
    <row r="88" spans="2:18" x14ac:dyDescent="0.35">
      <c r="B88" s="4"/>
      <c r="C88" s="4"/>
      <c r="D88" s="44"/>
      <c r="E88" s="94">
        <v>-0.22</v>
      </c>
      <c r="F88">
        <f t="shared" si="2"/>
        <v>0</v>
      </c>
      <c r="G88" s="74">
        <f t="shared" si="1"/>
        <v>0</v>
      </c>
      <c r="H88" s="51"/>
      <c r="I88" s="51"/>
      <c r="K88" s="51"/>
      <c r="L88" s="51"/>
      <c r="M88" s="51"/>
      <c r="N88" s="51"/>
      <c r="P88" s="51"/>
      <c r="Q88" s="51"/>
      <c r="R88" s="51"/>
    </row>
    <row r="89" spans="2:18" x14ac:dyDescent="0.35">
      <c r="B89" s="4"/>
      <c r="C89" s="4"/>
      <c r="D89" s="44"/>
      <c r="E89" s="94">
        <v>-0.22</v>
      </c>
      <c r="F89">
        <f t="shared" si="2"/>
        <v>0</v>
      </c>
      <c r="G89" s="74">
        <f t="shared" si="1"/>
        <v>0</v>
      </c>
      <c r="H89" s="51"/>
      <c r="I89" s="51"/>
      <c r="K89" s="51"/>
      <c r="L89" s="51"/>
      <c r="M89" s="51"/>
      <c r="N89" s="51"/>
      <c r="P89" s="51"/>
      <c r="Q89" s="51"/>
      <c r="R89" s="51"/>
    </row>
    <row r="90" spans="2:18" x14ac:dyDescent="0.35">
      <c r="B90" s="4"/>
      <c r="C90" s="4"/>
      <c r="D90" s="44"/>
      <c r="E90" s="94">
        <v>-0.22</v>
      </c>
      <c r="F90">
        <f t="shared" si="2"/>
        <v>0</v>
      </c>
      <c r="G90" s="74">
        <f t="shared" si="1"/>
        <v>0</v>
      </c>
      <c r="H90" s="51"/>
      <c r="I90" s="51"/>
      <c r="K90" s="51"/>
      <c r="L90" s="51"/>
      <c r="M90" s="51"/>
      <c r="N90" s="51"/>
      <c r="P90" s="51"/>
      <c r="Q90" s="51"/>
      <c r="R90" s="51"/>
    </row>
    <row r="91" spans="2:18" x14ac:dyDescent="0.35">
      <c r="B91" s="4"/>
      <c r="C91" s="4"/>
      <c r="D91" s="44"/>
      <c r="E91" s="94">
        <v>-0.22</v>
      </c>
      <c r="F91">
        <f t="shared" si="2"/>
        <v>0</v>
      </c>
      <c r="G91" s="74">
        <f t="shared" si="1"/>
        <v>0</v>
      </c>
      <c r="H91" s="51"/>
      <c r="I91" s="51"/>
      <c r="K91" s="51"/>
      <c r="L91" s="51"/>
      <c r="M91" s="51"/>
      <c r="N91" s="51"/>
      <c r="P91" s="51"/>
      <c r="Q91" s="51"/>
      <c r="R91" s="51"/>
    </row>
    <row r="92" spans="2:18" x14ac:dyDescent="0.35">
      <c r="B92" s="4"/>
      <c r="C92" s="4"/>
      <c r="D92" s="44"/>
      <c r="E92" s="94">
        <v>-0.22</v>
      </c>
      <c r="F92">
        <f t="shared" si="2"/>
        <v>0</v>
      </c>
      <c r="G92" s="74">
        <f t="shared" ref="G92:G155" si="3">F92*EXP($C$15*(C$16-25))</f>
        <v>0</v>
      </c>
      <c r="H92" s="51"/>
      <c r="I92" s="51"/>
      <c r="K92" s="51"/>
      <c r="L92" s="51"/>
      <c r="M92" s="51"/>
      <c r="N92" s="51"/>
      <c r="P92" s="51"/>
      <c r="Q92" s="51"/>
      <c r="R92" s="51"/>
    </row>
    <row r="93" spans="2:18" x14ac:dyDescent="0.35">
      <c r="B93" s="4"/>
      <c r="C93" s="4"/>
      <c r="D93" s="44"/>
      <c r="E93" s="94">
        <v>-0.22</v>
      </c>
      <c r="F93">
        <f t="shared" si="2"/>
        <v>0</v>
      </c>
      <c r="G93" s="74">
        <f t="shared" si="3"/>
        <v>0</v>
      </c>
      <c r="H93" s="51"/>
      <c r="I93" s="51"/>
      <c r="K93" s="51"/>
      <c r="L93" s="51"/>
      <c r="M93" s="51"/>
      <c r="N93" s="51"/>
      <c r="P93" s="51"/>
      <c r="Q93" s="51"/>
      <c r="R93" s="51"/>
    </row>
    <row r="94" spans="2:18" x14ac:dyDescent="0.35">
      <c r="B94" s="4"/>
      <c r="C94" s="4"/>
      <c r="D94" s="44"/>
      <c r="E94" s="94">
        <v>-0.17</v>
      </c>
      <c r="F94">
        <f t="shared" si="2"/>
        <v>0</v>
      </c>
      <c r="G94" s="74">
        <f t="shared" si="3"/>
        <v>0</v>
      </c>
      <c r="H94" s="51"/>
      <c r="I94" s="51"/>
      <c r="K94" s="38"/>
      <c r="L94" s="51"/>
      <c r="M94" s="51"/>
      <c r="N94" s="51"/>
      <c r="P94" s="51"/>
      <c r="Q94" s="51"/>
      <c r="R94" s="51"/>
    </row>
    <row r="95" spans="2:18" x14ac:dyDescent="0.35">
      <c r="B95" s="4"/>
      <c r="C95" s="4"/>
      <c r="D95" s="44"/>
      <c r="E95" s="94">
        <v>-0.17</v>
      </c>
      <c r="F95">
        <f t="shared" si="2"/>
        <v>0</v>
      </c>
      <c r="G95" s="74">
        <f t="shared" si="3"/>
        <v>0</v>
      </c>
      <c r="H95" s="51"/>
      <c r="I95" s="51"/>
      <c r="K95" s="38"/>
      <c r="L95" s="51"/>
      <c r="M95" s="51"/>
      <c r="N95" s="51"/>
      <c r="P95" s="51"/>
      <c r="Q95" s="51"/>
      <c r="R95" s="51"/>
    </row>
    <row r="96" spans="2:18" x14ac:dyDescent="0.35">
      <c r="B96" s="4"/>
      <c r="C96" s="4"/>
      <c r="D96" s="44"/>
      <c r="E96" s="94">
        <v>-0.22</v>
      </c>
      <c r="F96">
        <f t="shared" si="2"/>
        <v>0</v>
      </c>
      <c r="G96" s="74">
        <f t="shared" si="3"/>
        <v>0</v>
      </c>
      <c r="H96" s="51"/>
      <c r="I96" s="51"/>
      <c r="K96" s="38"/>
      <c r="L96" s="51"/>
      <c r="M96" s="51"/>
      <c r="N96" s="51"/>
      <c r="P96" s="51"/>
      <c r="Q96" s="51"/>
      <c r="R96" s="51"/>
    </row>
    <row r="97" spans="2:18" x14ac:dyDescent="0.35">
      <c r="B97" s="4"/>
      <c r="C97" s="4"/>
      <c r="D97" s="44"/>
      <c r="E97" s="94">
        <v>-0.22</v>
      </c>
      <c r="F97">
        <f t="shared" si="2"/>
        <v>0</v>
      </c>
      <c r="G97" s="74">
        <f t="shared" si="3"/>
        <v>0</v>
      </c>
      <c r="H97" s="51"/>
      <c r="I97" s="51"/>
      <c r="K97" s="38"/>
      <c r="L97" s="51"/>
      <c r="M97" s="51"/>
      <c r="N97" s="51"/>
      <c r="P97" s="51"/>
      <c r="Q97" s="51"/>
      <c r="R97" s="51"/>
    </row>
    <row r="98" spans="2:18" x14ac:dyDescent="0.35">
      <c r="B98" s="4"/>
      <c r="C98" s="4"/>
      <c r="D98" s="44"/>
      <c r="E98" s="94">
        <v>-0.22</v>
      </c>
      <c r="F98">
        <f t="shared" si="2"/>
        <v>0</v>
      </c>
      <c r="G98" s="74">
        <f t="shared" si="3"/>
        <v>0</v>
      </c>
      <c r="H98" s="51"/>
      <c r="I98" s="51"/>
      <c r="K98" s="38"/>
      <c r="L98" s="51"/>
      <c r="M98" s="51"/>
      <c r="N98" s="51"/>
      <c r="P98" s="51"/>
      <c r="Q98" s="51"/>
      <c r="R98" s="51"/>
    </row>
    <row r="99" spans="2:18" x14ac:dyDescent="0.35">
      <c r="B99" s="4"/>
      <c r="C99" s="4"/>
      <c r="D99" s="44"/>
      <c r="E99" s="94">
        <v>-0.22</v>
      </c>
      <c r="F99">
        <f t="shared" si="2"/>
        <v>0</v>
      </c>
      <c r="G99" s="74">
        <f t="shared" si="3"/>
        <v>0</v>
      </c>
      <c r="H99" s="51"/>
      <c r="I99" s="51"/>
      <c r="K99" s="38"/>
      <c r="L99" s="51"/>
      <c r="M99" s="51"/>
      <c r="N99" s="51"/>
      <c r="Q99" s="51"/>
      <c r="R99" s="51"/>
    </row>
    <row r="100" spans="2:18" x14ac:dyDescent="0.35">
      <c r="B100" s="4"/>
      <c r="C100" s="4"/>
      <c r="D100" s="44"/>
      <c r="E100" s="94">
        <v>-0.22</v>
      </c>
      <c r="F100">
        <f t="shared" si="2"/>
        <v>0</v>
      </c>
      <c r="G100" s="74">
        <f t="shared" si="3"/>
        <v>0</v>
      </c>
      <c r="H100" s="51"/>
      <c r="I100" s="51"/>
      <c r="K100" s="38"/>
      <c r="L100" s="51"/>
      <c r="M100" s="51"/>
      <c r="N100" s="51"/>
      <c r="Q100" s="51"/>
      <c r="R100" s="51"/>
    </row>
    <row r="101" spans="2:18" x14ac:dyDescent="0.35">
      <c r="B101" s="4"/>
      <c r="C101" s="4"/>
      <c r="D101" s="44"/>
      <c r="E101" s="94">
        <v>-0.17</v>
      </c>
      <c r="F101">
        <f t="shared" si="2"/>
        <v>0</v>
      </c>
      <c r="G101" s="74">
        <f t="shared" si="3"/>
        <v>0</v>
      </c>
      <c r="H101" s="51"/>
      <c r="I101" s="51"/>
      <c r="K101" s="38"/>
      <c r="L101" s="51"/>
      <c r="M101" s="51"/>
      <c r="N101" s="51"/>
      <c r="Q101" s="51"/>
      <c r="R101" s="51"/>
    </row>
    <row r="102" spans="2:18" x14ac:dyDescent="0.35">
      <c r="B102" s="4"/>
      <c r="C102" s="4"/>
      <c r="D102" s="44"/>
      <c r="E102" s="94">
        <v>-0.22</v>
      </c>
      <c r="F102">
        <f t="shared" si="2"/>
        <v>0</v>
      </c>
      <c r="G102" s="74">
        <f t="shared" si="3"/>
        <v>0</v>
      </c>
      <c r="H102" s="51"/>
      <c r="I102" s="51"/>
      <c r="K102" s="38"/>
      <c r="L102" s="51"/>
      <c r="M102" s="51"/>
      <c r="N102" s="51"/>
      <c r="Q102" s="51"/>
      <c r="R102" s="51"/>
    </row>
    <row r="103" spans="2:18" x14ac:dyDescent="0.35">
      <c r="B103" s="4"/>
      <c r="C103" s="4"/>
      <c r="D103" s="44"/>
      <c r="E103" s="94">
        <v>-0.22</v>
      </c>
      <c r="F103">
        <f t="shared" si="2"/>
        <v>0</v>
      </c>
      <c r="G103" s="74">
        <f t="shared" si="3"/>
        <v>0</v>
      </c>
      <c r="H103" s="51"/>
      <c r="I103" s="51"/>
      <c r="K103" s="38"/>
      <c r="L103" s="51"/>
      <c r="M103" s="51"/>
      <c r="N103" s="51"/>
      <c r="Q103" s="51"/>
      <c r="R103" s="51"/>
    </row>
    <row r="104" spans="2:18" x14ac:dyDescent="0.35">
      <c r="B104" s="4"/>
      <c r="C104" s="4"/>
      <c r="D104" s="44"/>
      <c r="E104" s="94">
        <v>-0.22</v>
      </c>
      <c r="F104">
        <f t="shared" si="2"/>
        <v>0</v>
      </c>
      <c r="G104" s="74">
        <f t="shared" si="3"/>
        <v>0</v>
      </c>
      <c r="H104" s="51"/>
      <c r="I104" s="51"/>
      <c r="K104" s="38"/>
      <c r="L104" s="51"/>
      <c r="M104" s="51"/>
      <c r="N104" s="51"/>
      <c r="Q104" s="51"/>
      <c r="R104" s="51"/>
    </row>
    <row r="105" spans="2:18" x14ac:dyDescent="0.35">
      <c r="B105" s="4"/>
      <c r="C105" s="4"/>
      <c r="D105" s="44"/>
      <c r="E105" s="94">
        <v>-0.17</v>
      </c>
      <c r="F105">
        <f t="shared" si="2"/>
        <v>0</v>
      </c>
      <c r="G105" s="74">
        <f t="shared" si="3"/>
        <v>0</v>
      </c>
      <c r="H105" s="51"/>
      <c r="I105" s="51"/>
      <c r="K105" s="38"/>
      <c r="L105" s="51"/>
      <c r="M105" s="51"/>
      <c r="N105" s="51"/>
      <c r="Q105" s="51"/>
      <c r="R105" s="51"/>
    </row>
    <row r="106" spans="2:18" x14ac:dyDescent="0.35">
      <c r="B106" s="4"/>
      <c r="C106" s="4"/>
      <c r="D106" s="44"/>
      <c r="E106" s="94">
        <v>-0.22</v>
      </c>
      <c r="F106">
        <f t="shared" si="2"/>
        <v>0</v>
      </c>
      <c r="G106" s="74">
        <f t="shared" si="3"/>
        <v>0</v>
      </c>
      <c r="H106" s="51"/>
      <c r="I106" s="51"/>
      <c r="K106" s="38"/>
      <c r="L106" s="51"/>
      <c r="M106" s="51"/>
      <c r="N106" s="51"/>
      <c r="Q106" s="51"/>
    </row>
    <row r="107" spans="2:18" x14ac:dyDescent="0.35">
      <c r="B107" s="4"/>
      <c r="C107" s="4"/>
      <c r="D107" s="44"/>
      <c r="E107" s="94">
        <v>-0.22</v>
      </c>
      <c r="F107">
        <f t="shared" si="2"/>
        <v>0</v>
      </c>
      <c r="G107" s="74">
        <f t="shared" si="3"/>
        <v>0</v>
      </c>
      <c r="H107" s="51"/>
      <c r="I107" s="51"/>
      <c r="K107" s="38"/>
      <c r="L107" s="51"/>
      <c r="M107" s="51"/>
      <c r="N107" s="51"/>
      <c r="Q107" s="51"/>
    </row>
    <row r="108" spans="2:18" x14ac:dyDescent="0.35">
      <c r="B108" s="4"/>
      <c r="C108" s="4"/>
      <c r="D108" s="44"/>
      <c r="E108" s="94">
        <v>-0.22</v>
      </c>
      <c r="F108">
        <f t="shared" si="2"/>
        <v>0</v>
      </c>
      <c r="G108" s="74">
        <f t="shared" si="3"/>
        <v>0</v>
      </c>
      <c r="H108" s="51"/>
      <c r="I108" s="51"/>
      <c r="K108" s="38"/>
      <c r="L108" s="51"/>
      <c r="M108" s="51"/>
      <c r="N108" s="51"/>
      <c r="Q108" s="51"/>
    </row>
    <row r="109" spans="2:18" x14ac:dyDescent="0.35">
      <c r="B109" s="4"/>
      <c r="C109" s="4"/>
      <c r="D109" s="44"/>
      <c r="E109" s="94">
        <v>-0.22</v>
      </c>
      <c r="F109">
        <f t="shared" si="2"/>
        <v>0</v>
      </c>
      <c r="G109" s="74">
        <f t="shared" si="3"/>
        <v>0</v>
      </c>
      <c r="H109" s="51"/>
      <c r="I109" s="51"/>
      <c r="K109" s="38"/>
      <c r="L109" s="51"/>
      <c r="M109" s="51"/>
      <c r="N109" s="51"/>
      <c r="Q109" s="51"/>
    </row>
    <row r="110" spans="2:18" x14ac:dyDescent="0.35">
      <c r="B110" s="4"/>
      <c r="C110" s="4"/>
      <c r="D110" s="44"/>
      <c r="E110" s="94">
        <v>-0.22</v>
      </c>
      <c r="F110">
        <f t="shared" si="2"/>
        <v>0</v>
      </c>
      <c r="G110" s="74">
        <f t="shared" si="3"/>
        <v>0</v>
      </c>
      <c r="H110" s="51"/>
      <c r="I110" s="51"/>
      <c r="K110" s="38"/>
      <c r="L110" s="51"/>
      <c r="M110" s="51"/>
      <c r="N110" s="51"/>
      <c r="Q110" s="51"/>
    </row>
    <row r="111" spans="2:18" x14ac:dyDescent="0.35">
      <c r="B111" s="4"/>
      <c r="C111" s="4"/>
      <c r="D111" s="44"/>
      <c r="E111" s="94">
        <v>-0.22</v>
      </c>
      <c r="F111">
        <f t="shared" si="2"/>
        <v>0</v>
      </c>
      <c r="G111" s="74">
        <f t="shared" si="3"/>
        <v>0</v>
      </c>
      <c r="H111" s="51"/>
      <c r="I111" s="51"/>
      <c r="K111" s="38"/>
      <c r="L111" s="51"/>
      <c r="M111" s="51"/>
      <c r="N111" s="51"/>
      <c r="Q111" s="51"/>
    </row>
    <row r="112" spans="2:18" x14ac:dyDescent="0.35">
      <c r="B112" s="4"/>
      <c r="C112" s="4"/>
      <c r="D112" s="44"/>
      <c r="E112" s="94">
        <v>-0.22</v>
      </c>
      <c r="F112">
        <f t="shared" si="2"/>
        <v>0</v>
      </c>
      <c r="G112" s="74">
        <f t="shared" si="3"/>
        <v>0</v>
      </c>
      <c r="H112" s="51"/>
      <c r="I112" s="51"/>
      <c r="K112" s="38"/>
      <c r="L112" s="51"/>
      <c r="M112" s="51"/>
      <c r="N112" s="51"/>
      <c r="Q112" s="51"/>
    </row>
    <row r="113" spans="2:17" x14ac:dyDescent="0.35">
      <c r="B113" s="4"/>
      <c r="C113" s="4"/>
      <c r="D113" s="44"/>
      <c r="E113" s="94">
        <v>-0.22</v>
      </c>
      <c r="F113">
        <f t="shared" si="2"/>
        <v>0</v>
      </c>
      <c r="G113" s="74">
        <f t="shared" si="3"/>
        <v>0</v>
      </c>
      <c r="H113" s="51"/>
      <c r="I113" s="51"/>
      <c r="K113" s="38"/>
      <c r="L113" s="51"/>
      <c r="M113" s="51"/>
      <c r="N113" s="51"/>
      <c r="Q113" s="51"/>
    </row>
    <row r="114" spans="2:17" x14ac:dyDescent="0.35">
      <c r="B114" s="4"/>
      <c r="C114" s="4"/>
      <c r="D114" s="44"/>
      <c r="E114" s="94">
        <v>-0.22</v>
      </c>
      <c r="F114">
        <f t="shared" si="2"/>
        <v>0</v>
      </c>
      <c r="G114" s="74">
        <f t="shared" si="3"/>
        <v>0</v>
      </c>
      <c r="H114" s="51"/>
      <c r="I114" s="51"/>
      <c r="K114" s="38"/>
      <c r="L114" s="51"/>
      <c r="M114" s="51"/>
      <c r="N114" s="51"/>
      <c r="Q114" s="51"/>
    </row>
    <row r="115" spans="2:17" x14ac:dyDescent="0.35">
      <c r="B115" s="4"/>
      <c r="C115" s="4"/>
      <c r="D115" s="44"/>
      <c r="E115" s="94">
        <v>-0.22</v>
      </c>
      <c r="F115">
        <f t="shared" si="2"/>
        <v>0</v>
      </c>
      <c r="G115" s="74">
        <f t="shared" si="3"/>
        <v>0</v>
      </c>
      <c r="H115" s="51"/>
      <c r="I115" s="51"/>
      <c r="K115" s="38"/>
      <c r="L115" s="51"/>
      <c r="M115" s="51"/>
      <c r="N115" s="51"/>
      <c r="Q115" s="51"/>
    </row>
    <row r="116" spans="2:17" x14ac:dyDescent="0.35">
      <c r="B116" s="4"/>
      <c r="C116" s="4"/>
      <c r="D116" s="44"/>
      <c r="E116" s="94">
        <v>-0.22</v>
      </c>
      <c r="F116">
        <f t="shared" si="2"/>
        <v>0</v>
      </c>
      <c r="G116" s="74">
        <f t="shared" si="3"/>
        <v>0</v>
      </c>
      <c r="H116" s="51"/>
      <c r="I116" s="51"/>
      <c r="K116" s="38"/>
      <c r="L116" s="51"/>
      <c r="M116" s="51"/>
      <c r="N116" s="51"/>
      <c r="Q116" s="51"/>
    </row>
    <row r="117" spans="2:17" x14ac:dyDescent="0.35">
      <c r="B117" s="4"/>
      <c r="C117" s="4"/>
      <c r="D117" s="44"/>
      <c r="E117" s="94">
        <v>-0.22</v>
      </c>
      <c r="F117">
        <f t="shared" si="2"/>
        <v>0</v>
      </c>
      <c r="G117" s="74">
        <f t="shared" si="3"/>
        <v>0</v>
      </c>
      <c r="H117" s="51"/>
      <c r="I117" s="51"/>
      <c r="K117" s="38"/>
      <c r="L117" s="51"/>
      <c r="M117" s="51"/>
      <c r="N117" s="51"/>
      <c r="Q117" s="51"/>
    </row>
    <row r="118" spans="2:17" x14ac:dyDescent="0.35">
      <c r="B118" s="4"/>
      <c r="C118" s="4"/>
      <c r="D118" s="44"/>
      <c r="E118" s="94">
        <v>-0.22</v>
      </c>
      <c r="F118">
        <f t="shared" si="2"/>
        <v>0</v>
      </c>
      <c r="G118" s="74">
        <f t="shared" si="3"/>
        <v>0</v>
      </c>
      <c r="H118" s="51"/>
      <c r="I118" s="51"/>
      <c r="K118" s="38"/>
      <c r="L118" s="51"/>
      <c r="M118" s="51"/>
      <c r="N118" s="51"/>
      <c r="Q118" s="51"/>
    </row>
    <row r="119" spans="2:17" x14ac:dyDescent="0.35">
      <c r="B119" s="4"/>
      <c r="C119" s="4"/>
      <c r="D119" s="44"/>
      <c r="E119" s="94">
        <v>-0.22</v>
      </c>
      <c r="F119">
        <f t="shared" si="2"/>
        <v>0</v>
      </c>
      <c r="G119" s="74">
        <f t="shared" si="3"/>
        <v>0</v>
      </c>
      <c r="H119" s="51"/>
      <c r="I119" s="51"/>
      <c r="K119" s="38"/>
      <c r="L119" s="51"/>
      <c r="M119" s="51"/>
      <c r="N119" s="51"/>
      <c r="Q119" s="51"/>
    </row>
    <row r="120" spans="2:17" x14ac:dyDescent="0.35">
      <c r="B120" s="4"/>
      <c r="C120" s="4"/>
      <c r="D120" s="44"/>
      <c r="E120" s="94">
        <v>-0.22</v>
      </c>
      <c r="F120">
        <f t="shared" si="2"/>
        <v>0</v>
      </c>
      <c r="G120" s="74">
        <f t="shared" si="3"/>
        <v>0</v>
      </c>
      <c r="H120" s="51"/>
      <c r="I120" s="51"/>
      <c r="K120" s="38"/>
      <c r="L120" s="51"/>
      <c r="M120" s="51"/>
      <c r="N120" s="51"/>
      <c r="Q120" s="51"/>
    </row>
    <row r="121" spans="2:17" x14ac:dyDescent="0.35">
      <c r="B121" s="4"/>
      <c r="C121" s="4"/>
      <c r="D121" s="44"/>
      <c r="E121" s="94">
        <v>-0.22</v>
      </c>
      <c r="F121">
        <f t="shared" si="2"/>
        <v>0</v>
      </c>
      <c r="G121" s="74">
        <f t="shared" si="3"/>
        <v>0</v>
      </c>
      <c r="H121" s="51"/>
      <c r="I121" s="51"/>
      <c r="K121" s="38"/>
      <c r="L121" s="51"/>
      <c r="M121" s="51"/>
      <c r="N121" s="51"/>
      <c r="Q121" s="51"/>
    </row>
    <row r="122" spans="2:17" x14ac:dyDescent="0.35">
      <c r="B122" s="4"/>
      <c r="C122" s="4"/>
      <c r="D122" s="44"/>
      <c r="E122" s="94">
        <v>-0.22</v>
      </c>
      <c r="F122">
        <f t="shared" si="2"/>
        <v>0</v>
      </c>
      <c r="G122" s="74">
        <f t="shared" si="3"/>
        <v>0</v>
      </c>
      <c r="H122" s="51"/>
      <c r="I122" s="51"/>
      <c r="K122" s="38"/>
      <c r="L122" s="51"/>
      <c r="M122" s="51"/>
      <c r="N122" s="51"/>
      <c r="Q122" s="51"/>
    </row>
    <row r="123" spans="2:17" x14ac:dyDescent="0.35">
      <c r="B123" s="4"/>
      <c r="C123" s="4"/>
      <c r="D123" s="44"/>
      <c r="E123" s="94">
        <v>-0.22</v>
      </c>
      <c r="F123">
        <f t="shared" si="2"/>
        <v>0</v>
      </c>
      <c r="G123" s="74">
        <f t="shared" si="3"/>
        <v>0</v>
      </c>
      <c r="H123" s="51"/>
      <c r="I123" s="51"/>
      <c r="K123" s="38"/>
      <c r="L123" s="51"/>
      <c r="M123" s="51"/>
      <c r="N123" s="51"/>
      <c r="Q123" s="51"/>
    </row>
    <row r="124" spans="2:17" x14ac:dyDescent="0.35">
      <c r="B124" s="4"/>
      <c r="C124" s="4"/>
      <c r="D124" s="44"/>
      <c r="E124" s="94">
        <v>-0.22</v>
      </c>
      <c r="F124">
        <f t="shared" si="2"/>
        <v>0</v>
      </c>
      <c r="G124" s="74">
        <f t="shared" si="3"/>
        <v>0</v>
      </c>
      <c r="H124" s="51"/>
      <c r="I124" s="51"/>
      <c r="K124" s="38"/>
      <c r="L124" s="51"/>
      <c r="M124" s="51"/>
      <c r="N124" s="51"/>
      <c r="Q124" s="51"/>
    </row>
    <row r="125" spans="2:17" x14ac:dyDescent="0.35">
      <c r="B125" s="4"/>
      <c r="C125" s="4"/>
      <c r="D125" s="44"/>
      <c r="E125" s="94">
        <v>-0.22</v>
      </c>
      <c r="F125">
        <f t="shared" si="2"/>
        <v>0</v>
      </c>
      <c r="G125" s="74">
        <f t="shared" si="3"/>
        <v>0</v>
      </c>
      <c r="H125" s="51"/>
      <c r="I125" s="51"/>
      <c r="K125" s="38"/>
      <c r="L125" s="51"/>
      <c r="M125" s="51"/>
      <c r="N125" s="51"/>
      <c r="Q125" s="51"/>
    </row>
    <row r="126" spans="2:17" x14ac:dyDescent="0.35">
      <c r="B126" s="4"/>
      <c r="C126" s="4"/>
      <c r="D126" s="44"/>
      <c r="E126" s="94">
        <v>-0.22</v>
      </c>
      <c r="F126">
        <f t="shared" si="2"/>
        <v>0</v>
      </c>
      <c r="G126" s="74">
        <f t="shared" si="3"/>
        <v>0</v>
      </c>
      <c r="H126" s="51"/>
      <c r="I126" s="51"/>
      <c r="K126" s="38"/>
      <c r="L126" s="51"/>
      <c r="M126" s="51"/>
      <c r="N126" s="51"/>
      <c r="Q126" s="51"/>
    </row>
    <row r="127" spans="2:17" x14ac:dyDescent="0.35">
      <c r="B127" s="4"/>
      <c r="C127" s="4"/>
      <c r="D127" s="44"/>
      <c r="E127" s="94">
        <v>-0.22</v>
      </c>
      <c r="F127">
        <f t="shared" ref="F127:F190" si="4">IF(E127&gt;0,E127,0)</f>
        <v>0</v>
      </c>
      <c r="G127" s="74">
        <f t="shared" si="3"/>
        <v>0</v>
      </c>
      <c r="H127" s="51"/>
      <c r="I127" s="51"/>
      <c r="K127" s="38"/>
      <c r="L127" s="51"/>
      <c r="M127" s="51"/>
      <c r="N127" s="51"/>
      <c r="Q127" s="51"/>
    </row>
    <row r="128" spans="2:17" x14ac:dyDescent="0.35">
      <c r="B128" s="4"/>
      <c r="C128" s="4"/>
      <c r="D128" s="44"/>
      <c r="E128" s="94">
        <v>-0.22</v>
      </c>
      <c r="F128">
        <f t="shared" si="4"/>
        <v>0</v>
      </c>
      <c r="G128" s="74">
        <f t="shared" si="3"/>
        <v>0</v>
      </c>
      <c r="H128" s="51"/>
      <c r="I128" s="51"/>
      <c r="K128" s="38"/>
      <c r="L128" s="51"/>
      <c r="M128" s="51"/>
      <c r="N128" s="51"/>
      <c r="Q128" s="51"/>
    </row>
    <row r="129" spans="2:14" x14ac:dyDescent="0.35">
      <c r="B129" s="4"/>
      <c r="C129" s="4"/>
      <c r="D129" s="44"/>
      <c r="E129" s="94">
        <v>-0.22</v>
      </c>
      <c r="F129">
        <f t="shared" si="4"/>
        <v>0</v>
      </c>
      <c r="G129" s="74">
        <f t="shared" si="3"/>
        <v>0</v>
      </c>
      <c r="H129" s="51"/>
      <c r="I129" s="51"/>
      <c r="K129" s="38"/>
      <c r="L129" s="51"/>
      <c r="M129" s="51"/>
      <c r="N129" s="51"/>
    </row>
    <row r="130" spans="2:14" x14ac:dyDescent="0.35">
      <c r="B130" s="4"/>
      <c r="C130" s="4"/>
      <c r="D130" s="44"/>
      <c r="E130" s="94">
        <v>-0.22</v>
      </c>
      <c r="F130">
        <f t="shared" si="4"/>
        <v>0</v>
      </c>
      <c r="G130" s="74">
        <f t="shared" si="3"/>
        <v>0</v>
      </c>
      <c r="H130" s="51"/>
      <c r="I130" s="51"/>
      <c r="K130" s="38"/>
      <c r="L130" s="51"/>
      <c r="M130" s="51"/>
      <c r="N130" s="51"/>
    </row>
    <row r="131" spans="2:14" x14ac:dyDescent="0.35">
      <c r="B131" s="4"/>
      <c r="C131" s="4"/>
      <c r="D131" s="44"/>
      <c r="E131" s="94">
        <v>-0.22</v>
      </c>
      <c r="F131">
        <f t="shared" si="4"/>
        <v>0</v>
      </c>
      <c r="G131" s="74">
        <f t="shared" si="3"/>
        <v>0</v>
      </c>
      <c r="H131" s="51"/>
      <c r="I131" s="51"/>
      <c r="K131" s="38"/>
      <c r="L131" s="51"/>
      <c r="M131" s="51"/>
      <c r="N131" s="51"/>
    </row>
    <row r="132" spans="2:14" x14ac:dyDescent="0.35">
      <c r="B132" s="4"/>
      <c r="C132" s="4"/>
      <c r="D132" s="44"/>
      <c r="E132" s="94">
        <v>-0.13</v>
      </c>
      <c r="F132">
        <f t="shared" si="4"/>
        <v>0</v>
      </c>
      <c r="G132" s="74">
        <f t="shared" si="3"/>
        <v>0</v>
      </c>
      <c r="H132" s="51"/>
      <c r="I132" s="51"/>
      <c r="K132" s="38"/>
      <c r="L132" s="51"/>
      <c r="M132" s="51"/>
      <c r="N132" s="51"/>
    </row>
    <row r="133" spans="2:14" x14ac:dyDescent="0.35">
      <c r="B133" s="4"/>
      <c r="C133" s="4"/>
      <c r="D133" s="44"/>
      <c r="E133" s="94">
        <v>-0.17</v>
      </c>
      <c r="F133">
        <f t="shared" si="4"/>
        <v>0</v>
      </c>
      <c r="G133" s="74">
        <f t="shared" si="3"/>
        <v>0</v>
      </c>
      <c r="H133" s="51"/>
      <c r="I133" s="51"/>
      <c r="K133" s="38"/>
      <c r="L133" s="51"/>
      <c r="M133" s="51"/>
      <c r="N133" s="51"/>
    </row>
    <row r="134" spans="2:14" x14ac:dyDescent="0.35">
      <c r="B134" s="4"/>
      <c r="C134" s="4"/>
      <c r="D134" s="44"/>
      <c r="E134" s="94">
        <v>-0.22</v>
      </c>
      <c r="F134">
        <f t="shared" si="4"/>
        <v>0</v>
      </c>
      <c r="G134" s="74">
        <f t="shared" si="3"/>
        <v>0</v>
      </c>
      <c r="H134" s="51"/>
      <c r="I134" s="51"/>
      <c r="K134" s="38"/>
      <c r="L134" s="51"/>
      <c r="M134" s="51"/>
      <c r="N134" s="51"/>
    </row>
    <row r="135" spans="2:14" x14ac:dyDescent="0.35">
      <c r="B135" s="4"/>
      <c r="C135" s="4"/>
      <c r="D135" s="44"/>
      <c r="E135" s="94">
        <v>-0.22</v>
      </c>
      <c r="F135">
        <f t="shared" si="4"/>
        <v>0</v>
      </c>
      <c r="G135" s="74">
        <f t="shared" si="3"/>
        <v>0</v>
      </c>
      <c r="H135" s="51"/>
      <c r="I135" s="51"/>
      <c r="K135" s="38"/>
      <c r="L135" s="51"/>
      <c r="M135" s="51"/>
      <c r="N135" s="51"/>
    </row>
    <row r="136" spans="2:14" x14ac:dyDescent="0.35">
      <c r="B136" s="4"/>
      <c r="C136" s="4"/>
      <c r="D136" s="44"/>
      <c r="E136" s="94">
        <v>-0.22</v>
      </c>
      <c r="F136">
        <f t="shared" si="4"/>
        <v>0</v>
      </c>
      <c r="G136" s="74">
        <f t="shared" si="3"/>
        <v>0</v>
      </c>
      <c r="H136" s="51"/>
      <c r="I136" s="51"/>
      <c r="K136" s="38"/>
      <c r="L136" s="51"/>
      <c r="M136" s="51"/>
      <c r="N136" s="51"/>
    </row>
    <row r="137" spans="2:14" x14ac:dyDescent="0.35">
      <c r="B137" s="4"/>
      <c r="C137" s="4"/>
      <c r="D137" s="44"/>
      <c r="E137" s="94">
        <v>-0.22</v>
      </c>
      <c r="F137">
        <f t="shared" si="4"/>
        <v>0</v>
      </c>
      <c r="G137" s="74">
        <f t="shared" si="3"/>
        <v>0</v>
      </c>
      <c r="H137" s="51"/>
      <c r="I137" s="51"/>
      <c r="K137" s="38"/>
      <c r="L137" s="51"/>
      <c r="M137" s="51"/>
      <c r="N137" s="51"/>
    </row>
    <row r="138" spans="2:14" x14ac:dyDescent="0.35">
      <c r="B138" s="4"/>
      <c r="C138" s="4"/>
      <c r="D138" s="44"/>
      <c r="E138" s="94">
        <v>-0.17</v>
      </c>
      <c r="F138">
        <f t="shared" si="4"/>
        <v>0</v>
      </c>
      <c r="G138" s="74">
        <f t="shared" si="3"/>
        <v>0</v>
      </c>
      <c r="H138" s="51"/>
      <c r="I138" s="51"/>
      <c r="K138" s="38"/>
      <c r="L138" s="51"/>
      <c r="M138" s="51"/>
      <c r="N138" s="51"/>
    </row>
    <row r="139" spans="2:14" x14ac:dyDescent="0.35">
      <c r="B139" s="4"/>
      <c r="C139" s="4"/>
      <c r="D139" s="44"/>
      <c r="E139" s="94">
        <v>-0.22</v>
      </c>
      <c r="F139">
        <f t="shared" si="4"/>
        <v>0</v>
      </c>
      <c r="G139" s="74">
        <f t="shared" si="3"/>
        <v>0</v>
      </c>
      <c r="H139" s="51"/>
      <c r="I139" s="51"/>
      <c r="K139" s="38"/>
      <c r="L139" s="51"/>
      <c r="M139" s="51"/>
      <c r="N139" s="51"/>
    </row>
    <row r="140" spans="2:14" x14ac:dyDescent="0.35">
      <c r="B140" s="4"/>
      <c r="C140" s="4"/>
      <c r="D140" s="44"/>
      <c r="E140" s="94">
        <v>-0.22</v>
      </c>
      <c r="F140">
        <f t="shared" si="4"/>
        <v>0</v>
      </c>
      <c r="G140" s="74">
        <f t="shared" si="3"/>
        <v>0</v>
      </c>
      <c r="H140" s="51"/>
      <c r="I140" s="51"/>
      <c r="K140" s="38"/>
      <c r="L140" s="51"/>
      <c r="M140" s="51"/>
      <c r="N140" s="51"/>
    </row>
    <row r="141" spans="2:14" x14ac:dyDescent="0.35">
      <c r="B141" s="4"/>
      <c r="C141" s="4"/>
      <c r="D141" s="44"/>
      <c r="E141" s="94">
        <v>-0.17</v>
      </c>
      <c r="F141">
        <f t="shared" si="4"/>
        <v>0</v>
      </c>
      <c r="G141" s="74">
        <f t="shared" si="3"/>
        <v>0</v>
      </c>
      <c r="H141" s="51"/>
      <c r="I141" s="51"/>
      <c r="K141" s="38"/>
      <c r="L141" s="51"/>
      <c r="M141" s="51"/>
      <c r="N141" s="51"/>
    </row>
    <row r="142" spans="2:14" x14ac:dyDescent="0.35">
      <c r="B142" s="4"/>
      <c r="C142" s="4"/>
      <c r="D142" s="44"/>
      <c r="E142" s="94">
        <v>-0.22</v>
      </c>
      <c r="F142">
        <f t="shared" si="4"/>
        <v>0</v>
      </c>
      <c r="G142" s="74">
        <f t="shared" si="3"/>
        <v>0</v>
      </c>
      <c r="H142" s="51"/>
      <c r="I142" s="51"/>
      <c r="K142" s="38"/>
      <c r="L142" s="51"/>
      <c r="M142" s="51"/>
      <c r="N142" s="51"/>
    </row>
    <row r="143" spans="2:14" x14ac:dyDescent="0.35">
      <c r="B143" s="4"/>
      <c r="C143" s="4"/>
      <c r="D143" s="44"/>
      <c r="E143" s="94">
        <v>-0.17</v>
      </c>
      <c r="F143">
        <f t="shared" si="4"/>
        <v>0</v>
      </c>
      <c r="G143" s="74">
        <f t="shared" si="3"/>
        <v>0</v>
      </c>
      <c r="H143" s="51"/>
      <c r="I143" s="51"/>
      <c r="K143" s="38"/>
      <c r="L143" s="51"/>
      <c r="M143" s="51"/>
    </row>
    <row r="144" spans="2:14" x14ac:dyDescent="0.35">
      <c r="B144" s="4"/>
      <c r="C144" s="4"/>
      <c r="D144" s="44"/>
      <c r="E144" s="94">
        <v>-0.22</v>
      </c>
      <c r="F144">
        <f t="shared" si="4"/>
        <v>0</v>
      </c>
      <c r="G144" s="74">
        <f t="shared" si="3"/>
        <v>0</v>
      </c>
      <c r="H144" s="51"/>
      <c r="I144" s="51"/>
      <c r="K144" s="38"/>
      <c r="L144" s="51"/>
      <c r="M144" s="51"/>
    </row>
    <row r="145" spans="2:13" x14ac:dyDescent="0.35">
      <c r="B145" s="4"/>
      <c r="C145" s="4"/>
      <c r="D145" s="44"/>
      <c r="E145" s="94">
        <v>-0.22</v>
      </c>
      <c r="F145">
        <f t="shared" si="4"/>
        <v>0</v>
      </c>
      <c r="G145" s="74">
        <f t="shared" si="3"/>
        <v>0</v>
      </c>
      <c r="H145" s="51"/>
      <c r="I145" s="51"/>
      <c r="K145" s="38"/>
      <c r="L145" s="51"/>
      <c r="M145" s="51"/>
    </row>
    <row r="146" spans="2:13" x14ac:dyDescent="0.35">
      <c r="B146" s="4"/>
      <c r="C146" s="4"/>
      <c r="D146" s="44"/>
      <c r="E146" s="94">
        <v>-0.22</v>
      </c>
      <c r="F146">
        <f t="shared" si="4"/>
        <v>0</v>
      </c>
      <c r="G146" s="74">
        <f t="shared" si="3"/>
        <v>0</v>
      </c>
      <c r="H146" s="51"/>
      <c r="I146" s="51"/>
      <c r="K146" s="38"/>
      <c r="L146" s="51"/>
      <c r="M146" s="51"/>
    </row>
    <row r="147" spans="2:13" x14ac:dyDescent="0.35">
      <c r="B147" s="4"/>
      <c r="C147" s="4"/>
      <c r="D147" s="44"/>
      <c r="E147" s="94">
        <v>-0.22</v>
      </c>
      <c r="F147">
        <f t="shared" si="4"/>
        <v>0</v>
      </c>
      <c r="G147" s="74">
        <f t="shared" si="3"/>
        <v>0</v>
      </c>
      <c r="H147" s="51"/>
      <c r="I147" s="51"/>
      <c r="K147" s="38"/>
      <c r="L147" s="51"/>
      <c r="M147" s="51"/>
    </row>
    <row r="148" spans="2:13" x14ac:dyDescent="0.35">
      <c r="B148" s="4"/>
      <c r="C148" s="4"/>
      <c r="D148" s="44"/>
      <c r="E148" s="94">
        <v>-0.22</v>
      </c>
      <c r="F148">
        <f t="shared" si="4"/>
        <v>0</v>
      </c>
      <c r="G148" s="74">
        <f t="shared" si="3"/>
        <v>0</v>
      </c>
      <c r="H148" s="51"/>
      <c r="I148" s="51"/>
      <c r="K148" s="38"/>
      <c r="L148" s="51"/>
      <c r="M148" s="51"/>
    </row>
    <row r="149" spans="2:13" x14ac:dyDescent="0.35">
      <c r="B149" s="4"/>
      <c r="C149" s="4"/>
      <c r="D149" s="44"/>
      <c r="E149" s="94">
        <v>-0.22</v>
      </c>
      <c r="F149">
        <f t="shared" si="4"/>
        <v>0</v>
      </c>
      <c r="G149" s="74">
        <f t="shared" si="3"/>
        <v>0</v>
      </c>
      <c r="H149" s="51"/>
      <c r="I149" s="51"/>
      <c r="K149" s="38"/>
      <c r="L149" s="51"/>
      <c r="M149" s="51"/>
    </row>
    <row r="150" spans="2:13" x14ac:dyDescent="0.35">
      <c r="B150" s="4"/>
      <c r="C150" s="4"/>
      <c r="D150" s="44"/>
      <c r="E150" s="94">
        <v>-0.22</v>
      </c>
      <c r="F150">
        <f t="shared" si="4"/>
        <v>0</v>
      </c>
      <c r="G150" s="74">
        <f t="shared" si="3"/>
        <v>0</v>
      </c>
      <c r="H150" s="51"/>
      <c r="I150" s="51"/>
      <c r="K150" s="38"/>
      <c r="L150" s="51"/>
      <c r="M150" s="51"/>
    </row>
    <row r="151" spans="2:13" x14ac:dyDescent="0.35">
      <c r="B151" s="4"/>
      <c r="C151" s="4"/>
      <c r="D151" s="44"/>
      <c r="E151" s="94">
        <v>-0.22</v>
      </c>
      <c r="F151">
        <f t="shared" si="4"/>
        <v>0</v>
      </c>
      <c r="G151" s="74">
        <f t="shared" si="3"/>
        <v>0</v>
      </c>
      <c r="H151" s="51"/>
      <c r="I151" s="51"/>
      <c r="K151" s="38"/>
      <c r="M151" s="51"/>
    </row>
    <row r="152" spans="2:13" x14ac:dyDescent="0.35">
      <c r="B152" s="4"/>
      <c r="C152" s="4"/>
      <c r="D152" s="44"/>
      <c r="E152" s="94">
        <v>-0.22</v>
      </c>
      <c r="F152">
        <f t="shared" si="4"/>
        <v>0</v>
      </c>
      <c r="G152" s="74">
        <f t="shared" si="3"/>
        <v>0</v>
      </c>
      <c r="H152" s="51"/>
      <c r="I152" s="51"/>
      <c r="K152" s="38"/>
      <c r="M152" s="51"/>
    </row>
    <row r="153" spans="2:13" x14ac:dyDescent="0.35">
      <c r="B153" s="4"/>
      <c r="C153" s="4"/>
      <c r="D153" s="44"/>
      <c r="E153" s="94">
        <v>-0.22</v>
      </c>
      <c r="F153">
        <f t="shared" si="4"/>
        <v>0</v>
      </c>
      <c r="G153" s="74">
        <f t="shared" si="3"/>
        <v>0</v>
      </c>
      <c r="H153" s="51"/>
      <c r="I153" s="51"/>
      <c r="K153" s="38"/>
      <c r="M153" s="51"/>
    </row>
    <row r="154" spans="2:13" x14ac:dyDescent="0.35">
      <c r="B154" s="4"/>
      <c r="C154" s="4"/>
      <c r="D154" s="44"/>
      <c r="E154" s="94">
        <v>-0.17</v>
      </c>
      <c r="F154">
        <f t="shared" si="4"/>
        <v>0</v>
      </c>
      <c r="G154" s="74">
        <f t="shared" si="3"/>
        <v>0</v>
      </c>
      <c r="H154" s="51"/>
      <c r="I154" s="51"/>
      <c r="K154" s="38"/>
      <c r="M154" s="51"/>
    </row>
    <row r="155" spans="2:13" x14ac:dyDescent="0.35">
      <c r="B155" s="4"/>
      <c r="C155" s="4"/>
      <c r="D155" s="44"/>
      <c r="E155" s="94">
        <v>-0.22</v>
      </c>
      <c r="F155">
        <f t="shared" si="4"/>
        <v>0</v>
      </c>
      <c r="G155" s="74">
        <f t="shared" si="3"/>
        <v>0</v>
      </c>
      <c r="H155" s="51"/>
      <c r="I155" s="51"/>
      <c r="K155" s="38"/>
      <c r="M155" s="51"/>
    </row>
    <row r="156" spans="2:13" x14ac:dyDescent="0.35">
      <c r="B156" s="4"/>
      <c r="C156" s="4"/>
      <c r="D156" s="44"/>
      <c r="E156" s="94">
        <v>-0.22</v>
      </c>
      <c r="F156">
        <f t="shared" si="4"/>
        <v>0</v>
      </c>
      <c r="G156" s="74">
        <f t="shared" ref="G156:G219" si="5">F156*EXP($C$15*(C$16-25))</f>
        <v>0</v>
      </c>
      <c r="H156" s="51"/>
      <c r="I156" s="51"/>
      <c r="K156" s="38"/>
      <c r="M156" s="51"/>
    </row>
    <row r="157" spans="2:13" x14ac:dyDescent="0.35">
      <c r="B157" s="4"/>
      <c r="C157" s="4"/>
      <c r="D157" s="44"/>
      <c r="E157" s="94">
        <v>-0.22</v>
      </c>
      <c r="F157">
        <f t="shared" si="4"/>
        <v>0</v>
      </c>
      <c r="G157" s="74">
        <f t="shared" si="5"/>
        <v>0</v>
      </c>
      <c r="H157" s="51"/>
      <c r="I157" s="51"/>
      <c r="K157" s="38"/>
      <c r="M157" s="51"/>
    </row>
    <row r="158" spans="2:13" x14ac:dyDescent="0.35">
      <c r="B158" s="4"/>
      <c r="C158" s="4"/>
      <c r="D158" s="44"/>
      <c r="E158" s="94">
        <v>-0.22</v>
      </c>
      <c r="F158">
        <f t="shared" si="4"/>
        <v>0</v>
      </c>
      <c r="G158" s="74">
        <f t="shared" si="5"/>
        <v>0</v>
      </c>
      <c r="H158" s="51"/>
      <c r="I158" s="51"/>
      <c r="K158" s="38"/>
      <c r="M158" s="51"/>
    </row>
    <row r="159" spans="2:13" x14ac:dyDescent="0.35">
      <c r="B159" s="4"/>
      <c r="C159" s="4"/>
      <c r="D159" s="44"/>
      <c r="E159" s="94">
        <v>-0.22</v>
      </c>
      <c r="F159">
        <f t="shared" si="4"/>
        <v>0</v>
      </c>
      <c r="G159" s="74">
        <f t="shared" si="5"/>
        <v>0</v>
      </c>
      <c r="H159" s="51"/>
      <c r="I159" s="51"/>
      <c r="K159" s="38"/>
      <c r="M159" s="51"/>
    </row>
    <row r="160" spans="2:13" x14ac:dyDescent="0.35">
      <c r="B160" s="4"/>
      <c r="C160" s="4"/>
      <c r="D160" s="44"/>
      <c r="E160" s="94">
        <v>-0.22</v>
      </c>
      <c r="F160">
        <f t="shared" si="4"/>
        <v>0</v>
      </c>
      <c r="G160" s="74">
        <f t="shared" si="5"/>
        <v>0</v>
      </c>
      <c r="H160" s="51"/>
      <c r="I160" s="51"/>
      <c r="K160" s="38"/>
      <c r="M160" s="51"/>
    </row>
    <row r="161" spans="2:13" x14ac:dyDescent="0.35">
      <c r="B161" s="4"/>
      <c r="C161" s="4"/>
      <c r="D161" s="44"/>
      <c r="E161" s="94">
        <v>-0.22</v>
      </c>
      <c r="F161">
        <f t="shared" si="4"/>
        <v>0</v>
      </c>
      <c r="G161" s="74">
        <f t="shared" si="5"/>
        <v>0</v>
      </c>
      <c r="H161" s="51"/>
      <c r="I161" s="51"/>
      <c r="K161" s="38"/>
      <c r="M161" s="51"/>
    </row>
    <row r="162" spans="2:13" x14ac:dyDescent="0.35">
      <c r="B162" s="4"/>
      <c r="C162" s="4"/>
      <c r="D162" s="44"/>
      <c r="E162" s="94">
        <v>-0.22</v>
      </c>
      <c r="F162">
        <f t="shared" si="4"/>
        <v>0</v>
      </c>
      <c r="G162" s="74">
        <f t="shared" si="5"/>
        <v>0</v>
      </c>
      <c r="H162" s="51"/>
      <c r="I162" s="51"/>
      <c r="K162" s="38"/>
      <c r="M162" s="51"/>
    </row>
    <row r="163" spans="2:13" x14ac:dyDescent="0.35">
      <c r="B163" s="4"/>
      <c r="C163" s="4"/>
      <c r="D163" s="44"/>
      <c r="E163" s="94">
        <v>-0.22</v>
      </c>
      <c r="F163">
        <f t="shared" si="4"/>
        <v>0</v>
      </c>
      <c r="G163" s="74">
        <f t="shared" si="5"/>
        <v>0</v>
      </c>
      <c r="H163" s="51"/>
      <c r="I163" s="51"/>
      <c r="K163" s="38"/>
      <c r="M163" s="51"/>
    </row>
    <row r="164" spans="2:13" x14ac:dyDescent="0.35">
      <c r="B164" s="4"/>
      <c r="C164" s="4"/>
      <c r="D164" s="44"/>
      <c r="E164" s="94">
        <v>-0.22</v>
      </c>
      <c r="F164">
        <f t="shared" si="4"/>
        <v>0</v>
      </c>
      <c r="G164" s="74">
        <f t="shared" si="5"/>
        <v>0</v>
      </c>
      <c r="H164" s="51"/>
      <c r="I164" s="51"/>
      <c r="K164" s="38"/>
      <c r="M164" s="51"/>
    </row>
    <row r="165" spans="2:13" x14ac:dyDescent="0.35">
      <c r="B165" s="4"/>
      <c r="C165" s="4"/>
      <c r="D165" s="44"/>
      <c r="E165" s="94">
        <v>-0.22</v>
      </c>
      <c r="F165">
        <f t="shared" si="4"/>
        <v>0</v>
      </c>
      <c r="G165" s="74">
        <f t="shared" si="5"/>
        <v>0</v>
      </c>
      <c r="H165" s="51"/>
      <c r="I165" s="51"/>
      <c r="K165" s="38"/>
      <c r="M165" s="51"/>
    </row>
    <row r="166" spans="2:13" x14ac:dyDescent="0.35">
      <c r="B166" s="4"/>
      <c r="C166" s="4"/>
      <c r="D166" s="44"/>
      <c r="E166" s="94">
        <v>-0.22</v>
      </c>
      <c r="F166">
        <f t="shared" si="4"/>
        <v>0</v>
      </c>
      <c r="G166" s="74">
        <f t="shared" si="5"/>
        <v>0</v>
      </c>
      <c r="H166" s="51"/>
      <c r="I166" s="51"/>
      <c r="K166" s="38"/>
      <c r="M166" s="51"/>
    </row>
    <row r="167" spans="2:13" x14ac:dyDescent="0.35">
      <c r="B167" s="4"/>
      <c r="C167" s="4"/>
      <c r="D167" s="44"/>
      <c r="E167" s="94">
        <v>-0.22</v>
      </c>
      <c r="F167">
        <f t="shared" si="4"/>
        <v>0</v>
      </c>
      <c r="G167" s="74">
        <f t="shared" si="5"/>
        <v>0</v>
      </c>
      <c r="H167" s="51"/>
      <c r="I167" s="51"/>
      <c r="K167" s="38"/>
      <c r="M167" s="51"/>
    </row>
    <row r="168" spans="2:13" x14ac:dyDescent="0.35">
      <c r="B168" s="4"/>
      <c r="C168" s="4"/>
      <c r="D168" s="44"/>
      <c r="E168" s="94">
        <v>-0.22</v>
      </c>
      <c r="F168">
        <f t="shared" si="4"/>
        <v>0</v>
      </c>
      <c r="G168" s="74">
        <f t="shared" si="5"/>
        <v>0</v>
      </c>
      <c r="H168" s="51"/>
      <c r="I168" s="51"/>
      <c r="K168" s="38"/>
      <c r="M168" s="51"/>
    </row>
    <row r="169" spans="2:13" x14ac:dyDescent="0.35">
      <c r="B169" s="4"/>
      <c r="C169" s="4"/>
      <c r="D169" s="44"/>
      <c r="E169" s="94">
        <v>-0.22</v>
      </c>
      <c r="F169">
        <f t="shared" si="4"/>
        <v>0</v>
      </c>
      <c r="G169" s="74">
        <f t="shared" si="5"/>
        <v>0</v>
      </c>
      <c r="H169" s="51"/>
      <c r="I169" s="51"/>
      <c r="K169" s="38"/>
      <c r="M169" s="51"/>
    </row>
    <row r="170" spans="2:13" x14ac:dyDescent="0.35">
      <c r="B170" s="4"/>
      <c r="C170" s="4"/>
      <c r="D170" s="44"/>
      <c r="E170" s="94">
        <v>-0.22</v>
      </c>
      <c r="F170">
        <f t="shared" si="4"/>
        <v>0</v>
      </c>
      <c r="G170" s="74">
        <f t="shared" si="5"/>
        <v>0</v>
      </c>
      <c r="H170" s="51"/>
      <c r="I170" s="51"/>
      <c r="K170" s="38"/>
      <c r="M170" s="51"/>
    </row>
    <row r="171" spans="2:13" x14ac:dyDescent="0.35">
      <c r="B171" s="4"/>
      <c r="C171" s="4"/>
      <c r="D171" s="44"/>
      <c r="E171" s="94">
        <v>-0.22</v>
      </c>
      <c r="F171">
        <f t="shared" si="4"/>
        <v>0</v>
      </c>
      <c r="G171" s="74">
        <f t="shared" si="5"/>
        <v>0</v>
      </c>
      <c r="H171" s="51"/>
      <c r="I171" s="51"/>
      <c r="K171" s="38"/>
      <c r="M171" s="51"/>
    </row>
    <row r="172" spans="2:13" x14ac:dyDescent="0.35">
      <c r="B172" s="4"/>
      <c r="C172" s="4"/>
      <c r="D172" s="44"/>
      <c r="E172" s="94">
        <v>-0.22</v>
      </c>
      <c r="F172">
        <f t="shared" si="4"/>
        <v>0</v>
      </c>
      <c r="G172" s="74">
        <f t="shared" si="5"/>
        <v>0</v>
      </c>
      <c r="H172" s="51"/>
      <c r="I172" s="51"/>
      <c r="K172" s="38"/>
      <c r="M172" s="51"/>
    </row>
    <row r="173" spans="2:13" x14ac:dyDescent="0.35">
      <c r="B173" s="4"/>
      <c r="C173" s="4"/>
      <c r="D173" s="44"/>
      <c r="E173" s="94">
        <v>-0.22</v>
      </c>
      <c r="F173">
        <f t="shared" si="4"/>
        <v>0</v>
      </c>
      <c r="G173" s="74">
        <f t="shared" si="5"/>
        <v>0</v>
      </c>
      <c r="H173" s="51"/>
      <c r="I173" s="51"/>
      <c r="K173" s="38"/>
      <c r="M173" s="51"/>
    </row>
    <row r="174" spans="2:13" x14ac:dyDescent="0.35">
      <c r="B174" s="4"/>
      <c r="C174" s="4"/>
      <c r="D174" s="44"/>
      <c r="E174" s="94">
        <v>-0.22</v>
      </c>
      <c r="F174">
        <f t="shared" si="4"/>
        <v>0</v>
      </c>
      <c r="G174" s="74">
        <f t="shared" si="5"/>
        <v>0</v>
      </c>
      <c r="H174" s="51"/>
      <c r="I174" s="51"/>
      <c r="K174" s="38"/>
      <c r="M174" s="51"/>
    </row>
    <row r="175" spans="2:13" x14ac:dyDescent="0.35">
      <c r="B175" s="4"/>
      <c r="C175" s="4"/>
      <c r="D175" s="44"/>
      <c r="E175" s="94">
        <v>-0.22</v>
      </c>
      <c r="F175">
        <f t="shared" si="4"/>
        <v>0</v>
      </c>
      <c r="G175" s="74">
        <f t="shared" si="5"/>
        <v>0</v>
      </c>
      <c r="H175" s="51"/>
      <c r="I175" s="51"/>
      <c r="K175" s="38"/>
    </row>
    <row r="176" spans="2:13" x14ac:dyDescent="0.35">
      <c r="B176" s="4"/>
      <c r="C176" s="4"/>
      <c r="D176" s="44"/>
      <c r="E176" s="94">
        <v>-0.22</v>
      </c>
      <c r="F176">
        <f t="shared" si="4"/>
        <v>0</v>
      </c>
      <c r="G176" s="74">
        <f t="shared" si="5"/>
        <v>0</v>
      </c>
      <c r="H176" s="51"/>
      <c r="I176" s="51"/>
      <c r="K176" s="38"/>
    </row>
    <row r="177" spans="2:11" x14ac:dyDescent="0.35">
      <c r="B177" s="4"/>
      <c r="C177" s="4"/>
      <c r="D177" s="44"/>
      <c r="E177" s="94">
        <v>-0.13</v>
      </c>
      <c r="F177">
        <f t="shared" si="4"/>
        <v>0</v>
      </c>
      <c r="G177" s="74">
        <f t="shared" si="5"/>
        <v>0</v>
      </c>
      <c r="H177" s="51"/>
      <c r="I177" s="51"/>
      <c r="K177" s="38"/>
    </row>
    <row r="178" spans="2:11" x14ac:dyDescent="0.35">
      <c r="B178" s="4"/>
      <c r="C178" s="4"/>
      <c r="D178" s="44"/>
      <c r="E178" s="94">
        <v>-0.17</v>
      </c>
      <c r="F178">
        <f t="shared" si="4"/>
        <v>0</v>
      </c>
      <c r="G178" s="74">
        <f t="shared" si="5"/>
        <v>0</v>
      </c>
      <c r="H178" s="51"/>
      <c r="I178" s="51"/>
      <c r="K178" s="38"/>
    </row>
    <row r="179" spans="2:11" x14ac:dyDescent="0.35">
      <c r="B179" s="4"/>
      <c r="C179" s="4"/>
      <c r="D179" s="44"/>
      <c r="E179" s="94">
        <v>-0.22</v>
      </c>
      <c r="F179">
        <f t="shared" si="4"/>
        <v>0</v>
      </c>
      <c r="G179" s="74">
        <f t="shared" si="5"/>
        <v>0</v>
      </c>
      <c r="H179" s="51"/>
      <c r="I179" s="51"/>
      <c r="K179" s="38"/>
    </row>
    <row r="180" spans="2:11" x14ac:dyDescent="0.35">
      <c r="B180" s="4"/>
      <c r="C180" s="4"/>
      <c r="D180" s="44"/>
      <c r="E180" s="94">
        <v>-0.22</v>
      </c>
      <c r="F180">
        <f t="shared" si="4"/>
        <v>0</v>
      </c>
      <c r="G180" s="74">
        <f t="shared" si="5"/>
        <v>0</v>
      </c>
      <c r="H180" s="51"/>
      <c r="I180" s="51"/>
      <c r="K180" s="38"/>
    </row>
    <row r="181" spans="2:11" x14ac:dyDescent="0.35">
      <c r="B181" s="4"/>
      <c r="C181" s="4"/>
      <c r="D181" s="44"/>
      <c r="E181" s="94">
        <v>-0.17</v>
      </c>
      <c r="F181">
        <f t="shared" si="4"/>
        <v>0</v>
      </c>
      <c r="G181" s="74">
        <f t="shared" si="5"/>
        <v>0</v>
      </c>
      <c r="H181" s="51"/>
      <c r="I181" s="51"/>
      <c r="K181" s="38"/>
    </row>
    <row r="182" spans="2:11" x14ac:dyDescent="0.35">
      <c r="B182" s="4"/>
      <c r="C182" s="4"/>
      <c r="D182" s="44"/>
      <c r="E182" s="94">
        <v>-0.17</v>
      </c>
      <c r="F182">
        <f t="shared" si="4"/>
        <v>0</v>
      </c>
      <c r="G182" s="74">
        <f t="shared" si="5"/>
        <v>0</v>
      </c>
      <c r="H182" s="51"/>
      <c r="I182" s="51"/>
      <c r="K182" s="38"/>
    </row>
    <row r="183" spans="2:11" x14ac:dyDescent="0.35">
      <c r="B183" s="4"/>
      <c r="C183" s="4"/>
      <c r="D183" s="44"/>
      <c r="E183" s="94">
        <v>-0.13</v>
      </c>
      <c r="F183">
        <f t="shared" si="4"/>
        <v>0</v>
      </c>
      <c r="G183" s="74">
        <f t="shared" si="5"/>
        <v>0</v>
      </c>
      <c r="H183" s="51"/>
      <c r="I183" s="51"/>
      <c r="K183" s="38"/>
    </row>
    <row r="184" spans="2:11" x14ac:dyDescent="0.35">
      <c r="B184" s="4"/>
      <c r="C184" s="4"/>
      <c r="D184" s="44"/>
      <c r="E184" s="94">
        <v>0</v>
      </c>
      <c r="F184">
        <f t="shared" si="4"/>
        <v>0</v>
      </c>
      <c r="G184" s="74">
        <f t="shared" si="5"/>
        <v>0</v>
      </c>
      <c r="H184" s="51"/>
      <c r="I184" s="51"/>
      <c r="K184" s="38"/>
    </row>
    <row r="185" spans="2:11" x14ac:dyDescent="0.35">
      <c r="B185" s="4"/>
      <c r="C185" s="4"/>
      <c r="D185" s="44"/>
      <c r="E185" s="94">
        <v>7.0000000000000007E-2</v>
      </c>
      <c r="F185">
        <f t="shared" si="4"/>
        <v>7.0000000000000007E-2</v>
      </c>
      <c r="G185" s="74">
        <f t="shared" si="5"/>
        <v>4.4992474481887187E-2</v>
      </c>
      <c r="H185" s="51"/>
      <c r="I185" s="51"/>
      <c r="K185" s="38"/>
    </row>
    <row r="186" spans="2:11" x14ac:dyDescent="0.35">
      <c r="B186" s="4"/>
      <c r="C186" s="4"/>
      <c r="D186" s="44"/>
      <c r="E186" s="94">
        <v>0.75</v>
      </c>
      <c r="F186">
        <f t="shared" si="4"/>
        <v>0.75</v>
      </c>
      <c r="G186" s="74">
        <f t="shared" si="5"/>
        <v>0.48206222659164844</v>
      </c>
      <c r="H186" s="51"/>
      <c r="I186" s="51"/>
      <c r="K186" s="38"/>
    </row>
    <row r="187" spans="2:11" x14ac:dyDescent="0.35">
      <c r="B187" s="4"/>
      <c r="C187" s="4"/>
      <c r="D187" s="44"/>
      <c r="E187" s="94">
        <v>1.18</v>
      </c>
      <c r="F187">
        <f t="shared" si="4"/>
        <v>1.18</v>
      </c>
      <c r="G187" s="74">
        <f t="shared" si="5"/>
        <v>0.75844456983752684</v>
      </c>
      <c r="H187" s="51"/>
      <c r="I187" s="51"/>
      <c r="K187" s="38"/>
    </row>
    <row r="188" spans="2:11" x14ac:dyDescent="0.35">
      <c r="B188" s="4"/>
      <c r="C188" s="4"/>
      <c r="D188" s="44"/>
      <c r="E188" s="94">
        <v>1.0900000000000001</v>
      </c>
      <c r="F188">
        <f t="shared" si="4"/>
        <v>1.0900000000000001</v>
      </c>
      <c r="G188" s="74">
        <f t="shared" si="5"/>
        <v>0.70059710264652908</v>
      </c>
      <c r="H188" s="51"/>
      <c r="I188" s="51"/>
      <c r="K188" s="38"/>
    </row>
    <row r="189" spans="2:11" x14ac:dyDescent="0.35">
      <c r="B189" s="4"/>
      <c r="C189" s="4"/>
      <c r="D189" s="44"/>
      <c r="E189" s="94">
        <v>1.26</v>
      </c>
      <c r="F189">
        <f t="shared" si="4"/>
        <v>1.26</v>
      </c>
      <c r="G189" s="74">
        <f t="shared" si="5"/>
        <v>0.80986454067396929</v>
      </c>
      <c r="H189" s="51"/>
      <c r="I189" s="51"/>
      <c r="K189" s="38"/>
    </row>
    <row r="190" spans="2:11" x14ac:dyDescent="0.35">
      <c r="B190" s="4"/>
      <c r="C190" s="4"/>
      <c r="D190" s="44"/>
      <c r="E190" s="94">
        <v>1.56</v>
      </c>
      <c r="F190">
        <f t="shared" si="4"/>
        <v>1.56</v>
      </c>
      <c r="G190" s="74">
        <f t="shared" si="5"/>
        <v>1.0026894313106287</v>
      </c>
      <c r="H190" s="51"/>
      <c r="I190" s="51"/>
      <c r="K190" s="38"/>
    </row>
    <row r="191" spans="2:11" x14ac:dyDescent="0.35">
      <c r="B191" s="4"/>
      <c r="C191" s="4"/>
      <c r="D191" s="44"/>
      <c r="E191" s="94">
        <v>3.69</v>
      </c>
      <c r="F191">
        <f t="shared" ref="F191:F254" si="6">IF(E191&gt;0,E191,0)</f>
        <v>3.69</v>
      </c>
      <c r="G191" s="74">
        <f t="shared" si="5"/>
        <v>2.3717461548309102</v>
      </c>
      <c r="H191" s="51"/>
      <c r="I191" s="51"/>
      <c r="K191" s="38"/>
    </row>
    <row r="192" spans="2:11" x14ac:dyDescent="0.35">
      <c r="B192" s="4"/>
      <c r="C192" s="4"/>
      <c r="D192" s="44"/>
      <c r="E192" s="94">
        <v>6.28</v>
      </c>
      <c r="F192">
        <f t="shared" si="6"/>
        <v>6.28</v>
      </c>
      <c r="G192" s="74">
        <f t="shared" si="5"/>
        <v>4.0364677106607365</v>
      </c>
      <c r="H192" s="51"/>
      <c r="I192" s="51"/>
      <c r="K192" s="38"/>
    </row>
    <row r="193" spans="2:11" x14ac:dyDescent="0.35">
      <c r="B193" s="4"/>
      <c r="C193" s="4"/>
      <c r="D193" s="44"/>
      <c r="E193" s="94">
        <v>9.18</v>
      </c>
      <c r="F193">
        <f t="shared" si="6"/>
        <v>9.18</v>
      </c>
      <c r="G193" s="74">
        <f t="shared" si="5"/>
        <v>5.9004416534817761</v>
      </c>
      <c r="H193" s="51"/>
      <c r="I193" s="51"/>
      <c r="K193" s="38"/>
    </row>
    <row r="194" spans="2:11" x14ac:dyDescent="0.35">
      <c r="B194" s="4"/>
      <c r="C194" s="4"/>
      <c r="D194" s="44"/>
      <c r="E194" s="94">
        <v>11.9</v>
      </c>
      <c r="F194">
        <f t="shared" si="6"/>
        <v>11.9</v>
      </c>
      <c r="G194" s="74">
        <f t="shared" si="5"/>
        <v>7.6487206619208212</v>
      </c>
      <c r="H194" s="51"/>
      <c r="I194" s="51"/>
      <c r="K194" s="38"/>
    </row>
    <row r="195" spans="2:11" x14ac:dyDescent="0.35">
      <c r="B195" s="4"/>
      <c r="C195" s="4"/>
      <c r="D195" s="44"/>
      <c r="E195" s="94">
        <v>17.559999999999999</v>
      </c>
      <c r="F195">
        <f t="shared" si="6"/>
        <v>17.559999999999999</v>
      </c>
      <c r="G195" s="74">
        <f t="shared" si="5"/>
        <v>11.286683598599128</v>
      </c>
      <c r="H195" s="51"/>
      <c r="I195" s="51"/>
      <c r="K195" s="38"/>
    </row>
    <row r="196" spans="2:11" x14ac:dyDescent="0.35">
      <c r="B196" s="4"/>
      <c r="C196" s="4"/>
      <c r="D196" s="44"/>
      <c r="E196" s="94">
        <v>19.18</v>
      </c>
      <c r="F196">
        <f t="shared" si="6"/>
        <v>19.18</v>
      </c>
      <c r="G196" s="74">
        <f t="shared" si="5"/>
        <v>12.327938008037089</v>
      </c>
      <c r="H196" s="51"/>
      <c r="I196" s="51"/>
      <c r="K196" s="38"/>
    </row>
    <row r="197" spans="2:11" x14ac:dyDescent="0.35">
      <c r="B197" s="4"/>
      <c r="C197" s="4"/>
      <c r="D197" s="44"/>
      <c r="E197" s="94">
        <v>21.18</v>
      </c>
      <c r="F197">
        <f t="shared" si="6"/>
        <v>21.18</v>
      </c>
      <c r="G197" s="74">
        <f t="shared" si="5"/>
        <v>13.613437278948151</v>
      </c>
      <c r="H197" s="51"/>
      <c r="I197" s="51"/>
      <c r="K197" s="38"/>
    </row>
    <row r="198" spans="2:11" x14ac:dyDescent="0.35">
      <c r="B198" s="4"/>
      <c r="C198" s="4"/>
      <c r="D198" s="44"/>
      <c r="E198" s="94">
        <v>29.56</v>
      </c>
      <c r="F198">
        <f t="shared" si="6"/>
        <v>29.56</v>
      </c>
      <c r="G198" s="74">
        <f t="shared" si="5"/>
        <v>18.999679224065503</v>
      </c>
      <c r="H198" s="51"/>
      <c r="I198" s="51"/>
      <c r="K198" s="38"/>
    </row>
    <row r="199" spans="2:11" x14ac:dyDescent="0.35">
      <c r="B199" s="4"/>
      <c r="C199" s="4"/>
      <c r="D199" s="44"/>
      <c r="E199" s="94">
        <v>41.31</v>
      </c>
      <c r="F199">
        <f t="shared" si="6"/>
        <v>41.31</v>
      </c>
      <c r="G199" s="74">
        <f t="shared" si="5"/>
        <v>26.551987440667997</v>
      </c>
      <c r="H199" s="51"/>
      <c r="I199" s="51"/>
      <c r="K199" s="38"/>
    </row>
    <row r="200" spans="2:11" x14ac:dyDescent="0.35">
      <c r="B200" s="4"/>
      <c r="C200" s="4"/>
      <c r="D200" s="44"/>
      <c r="E200" s="94">
        <v>39.6</v>
      </c>
      <c r="F200">
        <f t="shared" si="6"/>
        <v>39.6</v>
      </c>
      <c r="G200" s="74">
        <f t="shared" si="5"/>
        <v>25.452885564039036</v>
      </c>
      <c r="H200" s="51"/>
      <c r="I200" s="51"/>
      <c r="K200" s="38"/>
    </row>
    <row r="201" spans="2:11" x14ac:dyDescent="0.35">
      <c r="B201" s="4"/>
      <c r="C201" s="4"/>
      <c r="D201" s="44"/>
      <c r="E201" s="94">
        <v>35.35</v>
      </c>
      <c r="F201">
        <f t="shared" si="6"/>
        <v>35.35</v>
      </c>
      <c r="G201" s="74">
        <f t="shared" si="5"/>
        <v>22.721199613353029</v>
      </c>
      <c r="H201" s="51"/>
      <c r="I201" s="51"/>
      <c r="K201" s="38"/>
    </row>
    <row r="202" spans="2:11" x14ac:dyDescent="0.35">
      <c r="B202" s="4"/>
      <c r="C202" s="4"/>
      <c r="D202" s="44"/>
      <c r="E202" s="94">
        <v>42.97</v>
      </c>
      <c r="F202">
        <f t="shared" si="6"/>
        <v>42.97</v>
      </c>
      <c r="G202" s="74">
        <f t="shared" si="5"/>
        <v>27.618951835524175</v>
      </c>
      <c r="H202" s="51"/>
      <c r="I202" s="51"/>
      <c r="K202" s="38"/>
    </row>
    <row r="203" spans="2:11" x14ac:dyDescent="0.35">
      <c r="B203" s="4"/>
      <c r="C203" s="4"/>
      <c r="D203" s="44"/>
      <c r="E203" s="94">
        <v>54.24</v>
      </c>
      <c r="F203">
        <f t="shared" si="6"/>
        <v>54.24</v>
      </c>
      <c r="G203" s="74">
        <f t="shared" si="5"/>
        <v>34.862740227108013</v>
      </c>
      <c r="H203" s="51"/>
      <c r="I203" s="51"/>
      <c r="K203" s="38"/>
    </row>
    <row r="204" spans="2:11" x14ac:dyDescent="0.35">
      <c r="B204" s="4"/>
      <c r="C204" s="4"/>
      <c r="D204" s="44"/>
      <c r="E204" s="94">
        <v>47.86</v>
      </c>
      <c r="F204">
        <f t="shared" si="6"/>
        <v>47.86</v>
      </c>
      <c r="G204" s="74">
        <f t="shared" si="5"/>
        <v>30.761997552901722</v>
      </c>
      <c r="H204" s="51"/>
      <c r="I204" s="51"/>
      <c r="K204" s="38"/>
    </row>
    <row r="205" spans="2:11" x14ac:dyDescent="0.35">
      <c r="B205" s="4"/>
      <c r="C205" s="4"/>
      <c r="D205" s="44"/>
      <c r="E205" s="94">
        <v>71.819999999999993</v>
      </c>
      <c r="F205">
        <f t="shared" si="6"/>
        <v>71.819999999999993</v>
      </c>
      <c r="G205" s="74">
        <f t="shared" si="5"/>
        <v>46.162278818416247</v>
      </c>
      <c r="H205" s="51"/>
      <c r="I205" s="51"/>
      <c r="K205" s="38"/>
    </row>
    <row r="206" spans="2:11" x14ac:dyDescent="0.35">
      <c r="B206" s="4"/>
      <c r="C206" s="4"/>
      <c r="D206" s="44"/>
      <c r="E206" s="94">
        <v>52.97</v>
      </c>
      <c r="F206">
        <f t="shared" si="6"/>
        <v>52.97</v>
      </c>
      <c r="G206" s="74">
        <f t="shared" si="5"/>
        <v>34.046448190079488</v>
      </c>
      <c r="H206" s="51"/>
      <c r="I206" s="51"/>
      <c r="K206" s="38"/>
    </row>
    <row r="207" spans="2:11" x14ac:dyDescent="0.35">
      <c r="B207" s="4"/>
      <c r="C207" s="4"/>
      <c r="D207" s="44"/>
      <c r="E207" s="94">
        <v>75.09</v>
      </c>
      <c r="F207">
        <f t="shared" si="6"/>
        <v>75.09</v>
      </c>
      <c r="G207" s="74">
        <f t="shared" si="5"/>
        <v>48.26407012635584</v>
      </c>
      <c r="H207" s="51"/>
      <c r="I207" s="51"/>
      <c r="K207" s="38"/>
    </row>
    <row r="208" spans="2:11" x14ac:dyDescent="0.35">
      <c r="B208" s="4"/>
      <c r="C208" s="4"/>
      <c r="D208" s="44"/>
      <c r="E208" s="94">
        <v>87.05</v>
      </c>
      <c r="F208">
        <f t="shared" si="6"/>
        <v>87.05</v>
      </c>
      <c r="G208" s="74">
        <f t="shared" si="5"/>
        <v>55.951355766403992</v>
      </c>
      <c r="H208" s="51"/>
      <c r="I208" s="51"/>
      <c r="K208" s="38"/>
    </row>
    <row r="209" spans="2:11" x14ac:dyDescent="0.35">
      <c r="B209" s="4"/>
      <c r="C209" s="4"/>
      <c r="D209" s="44"/>
      <c r="E209" s="94">
        <v>85.26</v>
      </c>
      <c r="F209">
        <f t="shared" si="6"/>
        <v>85.26</v>
      </c>
      <c r="G209" s="74">
        <f t="shared" si="5"/>
        <v>54.800833918938594</v>
      </c>
      <c r="H209" s="51"/>
      <c r="I209" s="51"/>
      <c r="K209" s="38"/>
    </row>
    <row r="210" spans="2:11" x14ac:dyDescent="0.35">
      <c r="B210" s="4"/>
      <c r="C210" s="4"/>
      <c r="D210" s="44"/>
      <c r="E210" s="94">
        <v>87.52</v>
      </c>
      <c r="F210">
        <f t="shared" si="6"/>
        <v>87.52</v>
      </c>
      <c r="G210" s="74">
        <f t="shared" si="5"/>
        <v>56.253448095068087</v>
      </c>
      <c r="H210" s="51"/>
      <c r="I210" s="51"/>
      <c r="K210" s="38"/>
    </row>
    <row r="211" spans="2:11" x14ac:dyDescent="0.35">
      <c r="B211" s="4"/>
      <c r="C211" s="4"/>
      <c r="D211" s="44"/>
      <c r="E211" s="94">
        <v>105.95</v>
      </c>
      <c r="F211">
        <f t="shared" si="6"/>
        <v>105.95</v>
      </c>
      <c r="G211" s="74">
        <f t="shared" si="5"/>
        <v>68.099323876513537</v>
      </c>
      <c r="H211" s="51"/>
      <c r="I211" s="51"/>
      <c r="K211" s="38"/>
    </row>
    <row r="212" spans="2:11" x14ac:dyDescent="0.35">
      <c r="B212" s="4"/>
      <c r="C212" s="4"/>
      <c r="D212" s="44"/>
      <c r="E212" s="94">
        <v>106.54</v>
      </c>
      <c r="F212">
        <f t="shared" si="6"/>
        <v>106.54</v>
      </c>
      <c r="G212" s="74">
        <f t="shared" si="5"/>
        <v>68.478546161432305</v>
      </c>
      <c r="H212" s="51"/>
      <c r="I212" s="51"/>
      <c r="K212" s="38"/>
    </row>
    <row r="213" spans="2:11" x14ac:dyDescent="0.35">
      <c r="B213" s="4"/>
      <c r="C213" s="4"/>
      <c r="D213" s="44"/>
      <c r="E213" s="94">
        <v>113.56</v>
      </c>
      <c r="F213">
        <f t="shared" si="6"/>
        <v>113.56</v>
      </c>
      <c r="G213" s="74">
        <f t="shared" si="5"/>
        <v>72.990648602330126</v>
      </c>
      <c r="H213" s="51"/>
      <c r="I213" s="51"/>
      <c r="K213" s="38"/>
    </row>
    <row r="214" spans="2:11" x14ac:dyDescent="0.35">
      <c r="B214" s="4"/>
      <c r="C214" s="4"/>
      <c r="D214" s="44"/>
      <c r="E214" s="94">
        <v>99.52</v>
      </c>
      <c r="F214">
        <f t="shared" si="6"/>
        <v>99.52</v>
      </c>
      <c r="G214" s="74">
        <f t="shared" si="5"/>
        <v>63.966443720534464</v>
      </c>
      <c r="H214" s="51"/>
      <c r="I214" s="51"/>
      <c r="K214" s="38"/>
    </row>
    <row r="215" spans="2:11" x14ac:dyDescent="0.35">
      <c r="B215" s="4"/>
      <c r="C215" s="4"/>
      <c r="D215" s="44"/>
      <c r="E215" s="94">
        <v>86.37</v>
      </c>
      <c r="F215">
        <f t="shared" si="6"/>
        <v>86.37</v>
      </c>
      <c r="G215" s="74">
        <f t="shared" si="5"/>
        <v>55.514286014294235</v>
      </c>
      <c r="H215" s="51"/>
      <c r="K215" s="38"/>
    </row>
    <row r="216" spans="2:11" x14ac:dyDescent="0.35">
      <c r="B216" s="4"/>
      <c r="C216" s="4"/>
      <c r="D216" s="44"/>
      <c r="E216" s="94">
        <v>103.09</v>
      </c>
      <c r="F216">
        <f t="shared" si="6"/>
        <v>103.09</v>
      </c>
      <c r="G216" s="74">
        <f t="shared" si="5"/>
        <v>66.261059919110721</v>
      </c>
      <c r="H216" s="51"/>
      <c r="K216" s="38"/>
    </row>
    <row r="217" spans="2:11" x14ac:dyDescent="0.35">
      <c r="B217" s="4"/>
      <c r="C217" s="4"/>
      <c r="D217" s="44"/>
      <c r="E217" s="94">
        <v>117.14</v>
      </c>
      <c r="F217">
        <f t="shared" si="6"/>
        <v>117.14</v>
      </c>
      <c r="G217" s="74">
        <f t="shared" si="5"/>
        <v>75.291692297260923</v>
      </c>
      <c r="H217" s="51"/>
      <c r="K217" s="38"/>
    </row>
    <row r="218" spans="2:11" x14ac:dyDescent="0.35">
      <c r="B218" s="4"/>
      <c r="C218" s="4"/>
      <c r="D218" s="44"/>
      <c r="E218" s="94">
        <v>115.56</v>
      </c>
      <c r="F218">
        <f t="shared" si="6"/>
        <v>115.56</v>
      </c>
      <c r="G218" s="74">
        <f t="shared" si="5"/>
        <v>74.276147873241186</v>
      </c>
      <c r="H218" s="51"/>
      <c r="K218" s="38"/>
    </row>
    <row r="219" spans="2:11" x14ac:dyDescent="0.35">
      <c r="B219" s="4"/>
      <c r="C219" s="4"/>
      <c r="D219" s="44"/>
      <c r="E219" s="94">
        <v>109.73</v>
      </c>
      <c r="F219">
        <f t="shared" si="6"/>
        <v>109.73</v>
      </c>
      <c r="G219" s="74">
        <f t="shared" si="5"/>
        <v>70.528917498535449</v>
      </c>
      <c r="H219" s="51"/>
      <c r="K219" s="38"/>
    </row>
    <row r="220" spans="2:11" x14ac:dyDescent="0.35">
      <c r="B220" s="4"/>
      <c r="C220" s="4"/>
      <c r="D220" s="44"/>
      <c r="E220" s="94">
        <v>108.88</v>
      </c>
      <c r="F220">
        <f t="shared" si="6"/>
        <v>108.88</v>
      </c>
      <c r="G220" s="74">
        <f t="shared" ref="G220:G283" si="7">F220*EXP($C$15*(C$16-25))</f>
        <v>69.982580308398241</v>
      </c>
      <c r="H220" s="51"/>
      <c r="K220" s="38"/>
    </row>
    <row r="221" spans="2:11" x14ac:dyDescent="0.35">
      <c r="B221" s="4"/>
      <c r="C221" s="4"/>
      <c r="D221" s="44"/>
      <c r="E221" s="94">
        <v>130.12</v>
      </c>
      <c r="F221">
        <f t="shared" si="6"/>
        <v>130.12</v>
      </c>
      <c r="G221" s="74">
        <f t="shared" si="7"/>
        <v>83.634582565473721</v>
      </c>
      <c r="H221" s="51"/>
      <c r="K221" s="38"/>
    </row>
    <row r="222" spans="2:11" x14ac:dyDescent="0.35">
      <c r="B222" s="4"/>
      <c r="C222" s="4"/>
      <c r="D222" s="44"/>
      <c r="E222" s="94">
        <v>131.94999999999999</v>
      </c>
      <c r="F222">
        <f t="shared" si="6"/>
        <v>131.94999999999999</v>
      </c>
      <c r="G222" s="74">
        <f t="shared" si="7"/>
        <v>84.810814398357337</v>
      </c>
      <c r="H222" s="51"/>
      <c r="K222" s="38"/>
    </row>
    <row r="223" spans="2:11" x14ac:dyDescent="0.35">
      <c r="B223" s="4"/>
      <c r="C223" s="4"/>
      <c r="D223" s="44"/>
      <c r="E223" s="94">
        <v>125.26</v>
      </c>
      <c r="F223">
        <f t="shared" si="6"/>
        <v>125.26</v>
      </c>
      <c r="G223" s="74">
        <f t="shared" si="7"/>
        <v>80.510819337159845</v>
      </c>
      <c r="H223" s="51"/>
      <c r="K223" s="38"/>
    </row>
    <row r="224" spans="2:11" x14ac:dyDescent="0.35">
      <c r="B224" s="4"/>
      <c r="C224" s="4"/>
      <c r="D224" s="44"/>
      <c r="E224" s="94">
        <v>135.13999999999999</v>
      </c>
      <c r="F224">
        <f t="shared" si="6"/>
        <v>135.13999999999999</v>
      </c>
      <c r="G224" s="74">
        <f t="shared" si="7"/>
        <v>86.861185735460481</v>
      </c>
      <c r="H224" s="51"/>
      <c r="K224" s="38"/>
    </row>
    <row r="225" spans="2:11" x14ac:dyDescent="0.35">
      <c r="B225" s="4"/>
      <c r="C225" s="4"/>
      <c r="D225" s="44"/>
      <c r="E225" s="94">
        <v>140.46</v>
      </c>
      <c r="F225">
        <f t="shared" si="6"/>
        <v>140.46</v>
      </c>
      <c r="G225" s="74">
        <f t="shared" si="7"/>
        <v>90.280613796083912</v>
      </c>
      <c r="H225" s="51"/>
      <c r="K225" s="38"/>
    </row>
    <row r="226" spans="2:11" x14ac:dyDescent="0.35">
      <c r="B226" s="4"/>
      <c r="C226" s="4"/>
      <c r="D226" s="44"/>
      <c r="E226" s="94">
        <v>133.27000000000001</v>
      </c>
      <c r="F226">
        <f t="shared" si="6"/>
        <v>133.27000000000001</v>
      </c>
      <c r="G226" s="74">
        <f t="shared" si="7"/>
        <v>85.659243917158648</v>
      </c>
      <c r="H226" s="51"/>
      <c r="K226" s="38"/>
    </row>
    <row r="227" spans="2:11" x14ac:dyDescent="0.35">
      <c r="B227" s="4"/>
      <c r="C227" s="4"/>
      <c r="D227" s="44"/>
      <c r="E227" s="94">
        <v>133.01</v>
      </c>
      <c r="F227">
        <f t="shared" si="6"/>
        <v>133.01</v>
      </c>
      <c r="G227" s="74">
        <f t="shared" si="7"/>
        <v>85.492129011940207</v>
      </c>
      <c r="H227" s="51"/>
      <c r="K227" s="38"/>
    </row>
    <row r="228" spans="2:11" x14ac:dyDescent="0.35">
      <c r="B228" s="4"/>
      <c r="C228" s="4"/>
      <c r="D228" s="44"/>
      <c r="E228" s="94">
        <v>133.22</v>
      </c>
      <c r="F228">
        <f t="shared" si="6"/>
        <v>133.22</v>
      </c>
      <c r="G228" s="74">
        <f t="shared" si="7"/>
        <v>85.627106435385869</v>
      </c>
      <c r="H228" s="51"/>
      <c r="K228" s="38"/>
    </row>
    <row r="229" spans="2:11" x14ac:dyDescent="0.35">
      <c r="B229" s="4"/>
      <c r="C229" s="4"/>
      <c r="D229" s="44"/>
      <c r="E229" s="94">
        <v>138.66999999999999</v>
      </c>
      <c r="F229">
        <f t="shared" si="6"/>
        <v>138.66999999999999</v>
      </c>
      <c r="G229" s="74">
        <f t="shared" si="7"/>
        <v>89.130091948618499</v>
      </c>
      <c r="H229" s="51"/>
      <c r="K229" s="38"/>
    </row>
    <row r="230" spans="2:11" x14ac:dyDescent="0.35">
      <c r="B230" s="4"/>
      <c r="C230" s="4"/>
      <c r="D230" s="44"/>
      <c r="E230" s="94">
        <v>138.63</v>
      </c>
      <c r="F230">
        <f t="shared" si="6"/>
        <v>138.63</v>
      </c>
      <c r="G230" s="74">
        <f t="shared" si="7"/>
        <v>89.104381963200282</v>
      </c>
      <c r="H230" s="51"/>
      <c r="K230" s="38"/>
    </row>
    <row r="231" spans="2:11" x14ac:dyDescent="0.35">
      <c r="B231" s="4"/>
      <c r="C231" s="4"/>
      <c r="D231" s="44"/>
      <c r="E231" s="94">
        <v>135.99</v>
      </c>
      <c r="F231">
        <f t="shared" si="6"/>
        <v>135.99</v>
      </c>
      <c r="G231" s="74">
        <f t="shared" si="7"/>
        <v>87.407522925597689</v>
      </c>
      <c r="H231" s="51"/>
      <c r="K231" s="38"/>
    </row>
    <row r="232" spans="2:11" x14ac:dyDescent="0.35">
      <c r="B232" s="4"/>
      <c r="C232" s="4"/>
      <c r="D232" s="44"/>
      <c r="E232" s="94">
        <v>137.44</v>
      </c>
      <c r="F232">
        <f t="shared" si="6"/>
        <v>137.44</v>
      </c>
      <c r="G232" s="74">
        <f t="shared" si="7"/>
        <v>88.339509897008213</v>
      </c>
      <c r="H232" s="51"/>
      <c r="K232" s="38"/>
    </row>
    <row r="233" spans="2:11" x14ac:dyDescent="0.35">
      <c r="B233" s="4"/>
      <c r="C233" s="4"/>
      <c r="D233" s="44"/>
      <c r="E233" s="94">
        <v>135.13999999999999</v>
      </c>
      <c r="F233">
        <f t="shared" si="6"/>
        <v>135.13999999999999</v>
      </c>
      <c r="G233" s="74">
        <f t="shared" si="7"/>
        <v>86.861185735460481</v>
      </c>
      <c r="H233" s="51"/>
      <c r="K233" s="38"/>
    </row>
    <row r="234" spans="2:11" x14ac:dyDescent="0.35">
      <c r="B234" s="4"/>
      <c r="C234" s="4"/>
      <c r="D234" s="44"/>
      <c r="E234" s="94">
        <v>134.84</v>
      </c>
      <c r="F234">
        <f t="shared" si="6"/>
        <v>134.84</v>
      </c>
      <c r="G234" s="74">
        <f t="shared" si="7"/>
        <v>86.668360844823837</v>
      </c>
      <c r="H234" s="51"/>
      <c r="K234" s="38"/>
    </row>
    <row r="235" spans="2:11" x14ac:dyDescent="0.35">
      <c r="B235" s="4"/>
      <c r="C235" s="4"/>
      <c r="D235" s="44"/>
      <c r="E235" s="94">
        <v>131.56</v>
      </c>
      <c r="F235">
        <f t="shared" si="6"/>
        <v>131.56</v>
      </c>
      <c r="G235" s="74">
        <f t="shared" si="7"/>
        <v>84.560142040529684</v>
      </c>
      <c r="H235" s="51"/>
      <c r="K235" s="38"/>
    </row>
    <row r="236" spans="2:11" x14ac:dyDescent="0.35">
      <c r="B236" s="4"/>
      <c r="C236" s="4"/>
      <c r="D236" s="44"/>
      <c r="E236" s="94">
        <v>129.35</v>
      </c>
      <c r="F236">
        <f t="shared" si="6"/>
        <v>129.35</v>
      </c>
      <c r="G236" s="74">
        <f t="shared" si="7"/>
        <v>83.139665346172961</v>
      </c>
      <c r="H236" s="51"/>
      <c r="K236" s="38"/>
    </row>
    <row r="237" spans="2:11" x14ac:dyDescent="0.35">
      <c r="B237" s="4"/>
      <c r="C237" s="4"/>
      <c r="D237" s="44"/>
      <c r="E237" s="94">
        <v>128.66999999999999</v>
      </c>
      <c r="F237">
        <f t="shared" si="6"/>
        <v>128.66999999999999</v>
      </c>
      <c r="G237" s="74">
        <f t="shared" si="7"/>
        <v>82.702595594063197</v>
      </c>
      <c r="H237" s="51"/>
      <c r="K237" s="38"/>
    </row>
    <row r="238" spans="2:11" x14ac:dyDescent="0.35">
      <c r="B238" s="4"/>
      <c r="C238" s="4"/>
      <c r="D238" s="44"/>
      <c r="E238" s="94">
        <v>125.73</v>
      </c>
      <c r="F238">
        <f t="shared" si="6"/>
        <v>125.73</v>
      </c>
      <c r="G238" s="74">
        <f t="shared" si="7"/>
        <v>80.812911665823947</v>
      </c>
      <c r="H238" s="51"/>
      <c r="K238" s="38"/>
    </row>
    <row r="239" spans="2:11" x14ac:dyDescent="0.35">
      <c r="B239" s="4"/>
      <c r="C239" s="4"/>
      <c r="D239" s="44"/>
      <c r="E239" s="94">
        <v>130.63</v>
      </c>
      <c r="F239">
        <f t="shared" si="6"/>
        <v>130.63</v>
      </c>
      <c r="G239" s="74">
        <f t="shared" si="7"/>
        <v>83.962384879556041</v>
      </c>
      <c r="H239" s="51"/>
      <c r="K239" s="38"/>
    </row>
    <row r="240" spans="2:11" x14ac:dyDescent="0.35">
      <c r="B240" s="4"/>
      <c r="C240" s="4"/>
      <c r="D240" s="44"/>
      <c r="E240" s="94">
        <v>128.29</v>
      </c>
      <c r="F240">
        <f t="shared" si="6"/>
        <v>128.29</v>
      </c>
      <c r="G240" s="74">
        <f t="shared" si="7"/>
        <v>82.458350732590091</v>
      </c>
      <c r="H240" s="51"/>
      <c r="K240" s="38"/>
    </row>
    <row r="241" spans="2:11" x14ac:dyDescent="0.35">
      <c r="B241" s="4"/>
      <c r="C241" s="4"/>
      <c r="D241" s="44"/>
      <c r="E241" s="94">
        <v>124.46</v>
      </c>
      <c r="F241">
        <f t="shared" si="6"/>
        <v>124.46</v>
      </c>
      <c r="G241" s="74">
        <f t="shared" si="7"/>
        <v>79.996619628795415</v>
      </c>
      <c r="H241" s="51"/>
      <c r="K241" s="38"/>
    </row>
    <row r="242" spans="2:11" x14ac:dyDescent="0.35">
      <c r="B242" s="4"/>
      <c r="C242" s="4"/>
      <c r="D242" s="44"/>
      <c r="E242" s="94">
        <v>120.46</v>
      </c>
      <c r="F242">
        <f t="shared" si="6"/>
        <v>120.46</v>
      </c>
      <c r="G242" s="74">
        <f t="shared" si="7"/>
        <v>77.42562108697328</v>
      </c>
      <c r="H242" s="51"/>
      <c r="K242" s="38"/>
    </row>
    <row r="243" spans="2:11" x14ac:dyDescent="0.35">
      <c r="B243" s="4"/>
      <c r="C243" s="4"/>
      <c r="D243" s="44"/>
      <c r="E243" s="94">
        <v>116.92</v>
      </c>
      <c r="F243">
        <f t="shared" si="6"/>
        <v>116.92</v>
      </c>
      <c r="G243" s="74">
        <f t="shared" si="7"/>
        <v>75.150287377460714</v>
      </c>
      <c r="H243" s="51"/>
      <c r="K243" s="38"/>
    </row>
    <row r="244" spans="2:11" x14ac:dyDescent="0.35">
      <c r="B244" s="4"/>
      <c r="C244" s="4"/>
      <c r="D244" s="44"/>
      <c r="E244" s="94">
        <v>105.9</v>
      </c>
      <c r="F244">
        <f t="shared" si="6"/>
        <v>105.9</v>
      </c>
      <c r="G244" s="74">
        <f t="shared" si="7"/>
        <v>68.067186394740759</v>
      </c>
      <c r="H244" s="51"/>
      <c r="K244" s="38"/>
    </row>
    <row r="245" spans="2:11" x14ac:dyDescent="0.35">
      <c r="B245" s="4"/>
      <c r="C245" s="4"/>
      <c r="D245" s="44"/>
      <c r="E245" s="94">
        <v>116.8</v>
      </c>
      <c r="F245">
        <f t="shared" si="6"/>
        <v>116.8</v>
      </c>
      <c r="G245" s="74">
        <f t="shared" si="7"/>
        <v>75.073157421206048</v>
      </c>
      <c r="H245" s="51"/>
      <c r="K245" s="38"/>
    </row>
    <row r="246" spans="2:11" x14ac:dyDescent="0.35">
      <c r="B246" s="4"/>
      <c r="C246" s="4"/>
      <c r="D246" s="44"/>
      <c r="E246" s="94">
        <v>106.33</v>
      </c>
      <c r="F246">
        <f t="shared" si="6"/>
        <v>106.33</v>
      </c>
      <c r="G246" s="74">
        <f t="shared" si="7"/>
        <v>68.343568737986629</v>
      </c>
      <c r="H246" s="51"/>
      <c r="K246" s="38"/>
    </row>
    <row r="247" spans="2:11" x14ac:dyDescent="0.35">
      <c r="B247" s="4"/>
      <c r="C247" s="4"/>
      <c r="D247" s="44"/>
      <c r="E247" s="94">
        <v>106.88</v>
      </c>
      <c r="F247">
        <f t="shared" si="6"/>
        <v>106.88</v>
      </c>
      <c r="G247" s="74">
        <f t="shared" si="7"/>
        <v>68.697081037487166</v>
      </c>
      <c r="H247" s="51"/>
      <c r="K247" s="38"/>
    </row>
    <row r="248" spans="2:11" x14ac:dyDescent="0.35">
      <c r="B248" s="4"/>
      <c r="C248" s="4"/>
      <c r="D248" s="44"/>
      <c r="E248" s="94">
        <v>97.22</v>
      </c>
      <c r="F248">
        <f t="shared" si="6"/>
        <v>97.22</v>
      </c>
      <c r="G248" s="74">
        <f t="shared" si="7"/>
        <v>62.488119558986746</v>
      </c>
      <c r="H248" s="51"/>
      <c r="K248" s="38"/>
    </row>
    <row r="249" spans="2:11" x14ac:dyDescent="0.35">
      <c r="B249" s="4"/>
      <c r="C249" s="4"/>
      <c r="D249" s="44"/>
      <c r="E249" s="94">
        <v>105.56</v>
      </c>
      <c r="F249">
        <f t="shared" si="6"/>
        <v>105.56</v>
      </c>
      <c r="G249" s="74">
        <f t="shared" si="7"/>
        <v>67.84865151868587</v>
      </c>
      <c r="H249" s="51"/>
      <c r="K249" s="38"/>
    </row>
    <row r="250" spans="2:11" x14ac:dyDescent="0.35">
      <c r="B250" s="4"/>
      <c r="C250" s="4"/>
      <c r="D250" s="44"/>
      <c r="E250" s="94">
        <v>99.95</v>
      </c>
      <c r="F250">
        <f t="shared" si="6"/>
        <v>99.95</v>
      </c>
      <c r="G250" s="74">
        <f t="shared" si="7"/>
        <v>64.242826063780342</v>
      </c>
      <c r="H250" s="51"/>
      <c r="K250" s="38"/>
    </row>
    <row r="251" spans="2:11" x14ac:dyDescent="0.35">
      <c r="B251" s="4"/>
      <c r="C251" s="4"/>
      <c r="D251" s="44"/>
      <c r="E251" s="94">
        <v>95.52</v>
      </c>
      <c r="F251">
        <f t="shared" si="6"/>
        <v>95.52</v>
      </c>
      <c r="G251" s="74">
        <f t="shared" si="7"/>
        <v>61.395445178712336</v>
      </c>
      <c r="H251" s="51"/>
      <c r="K251" s="38"/>
    </row>
    <row r="252" spans="2:11" x14ac:dyDescent="0.35">
      <c r="B252" s="4"/>
      <c r="C252" s="4"/>
      <c r="D252" s="44"/>
      <c r="E252" s="94">
        <v>93.9</v>
      </c>
      <c r="F252">
        <f t="shared" si="6"/>
        <v>93.9</v>
      </c>
      <c r="G252" s="74">
        <f t="shared" si="7"/>
        <v>60.354190769274382</v>
      </c>
      <c r="K252" s="38"/>
    </row>
    <row r="253" spans="2:11" x14ac:dyDescent="0.35">
      <c r="B253" s="4"/>
      <c r="C253" s="4"/>
      <c r="D253" s="44"/>
      <c r="E253" s="94">
        <v>87.99</v>
      </c>
      <c r="F253">
        <f t="shared" si="6"/>
        <v>87.99</v>
      </c>
      <c r="G253" s="74">
        <f t="shared" si="7"/>
        <v>56.555540423732189</v>
      </c>
      <c r="K253" s="38"/>
    </row>
    <row r="254" spans="2:11" x14ac:dyDescent="0.35">
      <c r="B254" s="4"/>
      <c r="C254" s="4"/>
      <c r="D254" s="44"/>
      <c r="E254" s="94">
        <v>96.71</v>
      </c>
      <c r="F254">
        <f t="shared" si="6"/>
        <v>96.71</v>
      </c>
      <c r="G254" s="74">
        <f t="shared" si="7"/>
        <v>62.160317244904419</v>
      </c>
      <c r="K254" s="38"/>
    </row>
    <row r="255" spans="2:11" x14ac:dyDescent="0.35">
      <c r="B255" s="4"/>
      <c r="C255" s="4"/>
      <c r="D255" s="44"/>
      <c r="E255" s="94">
        <v>95.31</v>
      </c>
      <c r="F255">
        <f t="shared" ref="F255:F318" si="8">IF(E255&gt;0,E255,0)</f>
        <v>95.31</v>
      </c>
      <c r="G255" s="74">
        <f t="shared" si="7"/>
        <v>61.260467755266681</v>
      </c>
      <c r="K255" s="38"/>
    </row>
    <row r="256" spans="2:11" x14ac:dyDescent="0.35">
      <c r="B256" s="4"/>
      <c r="C256" s="4"/>
      <c r="D256" s="44"/>
      <c r="E256" s="94">
        <v>82.88</v>
      </c>
      <c r="F256">
        <f t="shared" si="8"/>
        <v>82.88</v>
      </c>
      <c r="G256" s="74">
        <f t="shared" si="7"/>
        <v>53.271089786554427</v>
      </c>
      <c r="K256" s="38"/>
    </row>
    <row r="257" spans="2:11" x14ac:dyDescent="0.35">
      <c r="B257" s="4"/>
      <c r="C257" s="4"/>
      <c r="D257" s="44"/>
      <c r="E257" s="94">
        <v>74.37</v>
      </c>
      <c r="F257">
        <f t="shared" si="8"/>
        <v>74.37</v>
      </c>
      <c r="G257" s="74">
        <f t="shared" si="7"/>
        <v>47.801290388827859</v>
      </c>
      <c r="K257" s="38"/>
    </row>
    <row r="258" spans="2:11" x14ac:dyDescent="0.35">
      <c r="B258" s="4"/>
      <c r="C258" s="4"/>
      <c r="D258" s="44"/>
      <c r="E258" s="94">
        <v>71.56</v>
      </c>
      <c r="F258">
        <f t="shared" si="8"/>
        <v>71.56</v>
      </c>
      <c r="G258" s="74">
        <f t="shared" si="7"/>
        <v>45.995163913197814</v>
      </c>
      <c r="K258" s="38"/>
    </row>
    <row r="259" spans="2:11" x14ac:dyDescent="0.35">
      <c r="B259" s="4"/>
      <c r="C259" s="4"/>
      <c r="D259" s="44"/>
      <c r="E259" s="94">
        <v>71.599999999999994</v>
      </c>
      <c r="F259">
        <f t="shared" si="8"/>
        <v>71.599999999999994</v>
      </c>
      <c r="G259" s="74">
        <f t="shared" si="7"/>
        <v>46.020873898616031</v>
      </c>
      <c r="K259" s="38"/>
    </row>
    <row r="260" spans="2:11" x14ac:dyDescent="0.35">
      <c r="B260" s="4"/>
      <c r="C260" s="4"/>
      <c r="D260" s="44"/>
      <c r="E260" s="94">
        <v>85.39</v>
      </c>
      <c r="F260">
        <f t="shared" si="8"/>
        <v>85.39</v>
      </c>
      <c r="G260" s="74">
        <f t="shared" si="7"/>
        <v>54.884391371547814</v>
      </c>
      <c r="K260" s="38"/>
    </row>
    <row r="261" spans="2:11" x14ac:dyDescent="0.35">
      <c r="B261" s="4"/>
      <c r="C261" s="4"/>
      <c r="D261" s="44"/>
      <c r="E261" s="94">
        <v>73.989999999999995</v>
      </c>
      <c r="F261">
        <f t="shared" si="8"/>
        <v>73.989999999999995</v>
      </c>
      <c r="G261" s="74">
        <f t="shared" si="7"/>
        <v>47.557045527354752</v>
      </c>
      <c r="K261" s="38"/>
    </row>
    <row r="262" spans="2:11" x14ac:dyDescent="0.35">
      <c r="B262" s="4"/>
      <c r="C262" s="4"/>
      <c r="D262" s="44"/>
      <c r="E262" s="94">
        <v>76.97</v>
      </c>
      <c r="F262">
        <f t="shared" si="8"/>
        <v>76.97</v>
      </c>
      <c r="G262" s="74">
        <f t="shared" si="7"/>
        <v>49.472439441012234</v>
      </c>
      <c r="K262" s="38"/>
    </row>
    <row r="263" spans="2:11" x14ac:dyDescent="0.35">
      <c r="B263" s="4"/>
      <c r="C263" s="4"/>
      <c r="D263" s="44"/>
      <c r="E263" s="94">
        <v>61.94</v>
      </c>
      <c r="F263">
        <f t="shared" si="8"/>
        <v>61.94</v>
      </c>
      <c r="G263" s="74">
        <f t="shared" si="7"/>
        <v>39.811912420115604</v>
      </c>
      <c r="K263" s="38"/>
    </row>
    <row r="264" spans="2:11" x14ac:dyDescent="0.35">
      <c r="B264" s="4"/>
      <c r="C264" s="4"/>
      <c r="D264" s="44"/>
      <c r="E264" s="94">
        <v>64.459999999999994</v>
      </c>
      <c r="F264">
        <f t="shared" si="8"/>
        <v>64.459999999999994</v>
      </c>
      <c r="G264" s="74">
        <f t="shared" si="7"/>
        <v>41.431641501463538</v>
      </c>
      <c r="K264" s="38"/>
    </row>
    <row r="265" spans="2:11" x14ac:dyDescent="0.35">
      <c r="B265" s="4"/>
      <c r="C265" s="4"/>
      <c r="D265" s="44"/>
      <c r="E265" s="94">
        <v>63.26</v>
      </c>
      <c r="F265">
        <f t="shared" si="8"/>
        <v>63.26</v>
      </c>
      <c r="G265" s="74">
        <f t="shared" si="7"/>
        <v>40.660341938916901</v>
      </c>
      <c r="K265" s="38"/>
    </row>
    <row r="266" spans="2:11" x14ac:dyDescent="0.35">
      <c r="B266" s="4"/>
      <c r="C266" s="4"/>
      <c r="D266" s="44"/>
      <c r="E266" s="94">
        <v>61.52</v>
      </c>
      <c r="F266">
        <f t="shared" si="8"/>
        <v>61.52</v>
      </c>
      <c r="G266" s="74">
        <f t="shared" si="7"/>
        <v>39.541957573224281</v>
      </c>
      <c r="K266" s="38"/>
    </row>
    <row r="267" spans="2:11" x14ac:dyDescent="0.35">
      <c r="B267" s="4"/>
      <c r="C267" s="4"/>
      <c r="D267" s="44"/>
      <c r="E267" s="94">
        <v>68.75</v>
      </c>
      <c r="F267">
        <f t="shared" si="8"/>
        <v>68.75</v>
      </c>
      <c r="G267" s="74">
        <f t="shared" si="7"/>
        <v>44.189037437567769</v>
      </c>
      <c r="K267" s="38"/>
    </row>
    <row r="268" spans="2:11" x14ac:dyDescent="0.35">
      <c r="B268" s="4"/>
      <c r="C268" s="4"/>
      <c r="D268" s="44"/>
      <c r="E268" s="94">
        <v>57.01</v>
      </c>
      <c r="F268">
        <f t="shared" si="8"/>
        <v>57.01</v>
      </c>
      <c r="G268" s="74">
        <f t="shared" si="7"/>
        <v>36.643156717319833</v>
      </c>
      <c r="K268" s="38"/>
    </row>
    <row r="269" spans="2:11" x14ac:dyDescent="0.35">
      <c r="B269" s="4"/>
      <c r="C269" s="4"/>
      <c r="D269" s="44"/>
      <c r="E269" s="94">
        <v>60.07</v>
      </c>
      <c r="F269">
        <f t="shared" si="8"/>
        <v>60.07</v>
      </c>
      <c r="G269" s="74">
        <f t="shared" si="7"/>
        <v>38.609970601813757</v>
      </c>
      <c r="K269" s="38"/>
    </row>
    <row r="270" spans="2:11" x14ac:dyDescent="0.35">
      <c r="B270" s="4"/>
      <c r="C270" s="4"/>
      <c r="D270" s="44"/>
      <c r="E270" s="94">
        <v>42.62</v>
      </c>
      <c r="F270">
        <f t="shared" si="8"/>
        <v>42.62</v>
      </c>
      <c r="G270" s="74">
        <f t="shared" si="7"/>
        <v>27.393989463114739</v>
      </c>
      <c r="K270" s="38"/>
    </row>
    <row r="271" spans="2:11" x14ac:dyDescent="0.35">
      <c r="B271" s="4"/>
      <c r="C271" s="4"/>
      <c r="D271" s="44"/>
      <c r="E271" s="94">
        <v>47.6</v>
      </c>
      <c r="F271">
        <f t="shared" si="8"/>
        <v>47.6</v>
      </c>
      <c r="G271" s="74">
        <f t="shared" si="7"/>
        <v>30.594882647683285</v>
      </c>
      <c r="K271" s="38"/>
    </row>
    <row r="272" spans="2:11" x14ac:dyDescent="0.35">
      <c r="B272" s="4"/>
      <c r="C272" s="4"/>
      <c r="D272" s="44"/>
      <c r="E272" s="94">
        <v>42.8</v>
      </c>
      <c r="F272">
        <f t="shared" si="8"/>
        <v>42.8</v>
      </c>
      <c r="G272" s="74">
        <f t="shared" si="7"/>
        <v>27.509684397496734</v>
      </c>
      <c r="K272" s="38"/>
    </row>
    <row r="273" spans="2:11" x14ac:dyDescent="0.35">
      <c r="B273" s="4"/>
      <c r="C273" s="4"/>
      <c r="D273" s="44"/>
      <c r="E273" s="94">
        <v>44.67</v>
      </c>
      <c r="F273">
        <f t="shared" si="8"/>
        <v>44.67</v>
      </c>
      <c r="G273" s="74">
        <f t="shared" si="7"/>
        <v>28.711626215798582</v>
      </c>
      <c r="K273" s="38"/>
    </row>
    <row r="274" spans="2:11" x14ac:dyDescent="0.35">
      <c r="B274" s="4"/>
      <c r="C274" s="4"/>
      <c r="D274" s="44"/>
      <c r="E274" s="94">
        <v>46.33</v>
      </c>
      <c r="F274">
        <f t="shared" si="8"/>
        <v>46.33</v>
      </c>
      <c r="G274" s="74">
        <f t="shared" si="7"/>
        <v>29.77859061065476</v>
      </c>
      <c r="K274" s="38"/>
    </row>
    <row r="275" spans="2:11" x14ac:dyDescent="0.35">
      <c r="B275" s="4"/>
      <c r="C275" s="4"/>
      <c r="D275" s="44"/>
      <c r="E275" s="94">
        <v>37.26</v>
      </c>
      <c r="F275">
        <f t="shared" si="8"/>
        <v>37.26</v>
      </c>
      <c r="G275" s="74">
        <f t="shared" si="7"/>
        <v>23.94885141707309</v>
      </c>
      <c r="K275" s="38"/>
    </row>
    <row r="276" spans="2:11" x14ac:dyDescent="0.35">
      <c r="B276" s="4"/>
      <c r="C276" s="4"/>
      <c r="D276" s="44"/>
      <c r="E276" s="94">
        <v>38.58</v>
      </c>
      <c r="F276">
        <f t="shared" si="8"/>
        <v>38.58</v>
      </c>
      <c r="G276" s="74">
        <f t="shared" si="7"/>
        <v>24.797280935874394</v>
      </c>
      <c r="K276" s="38"/>
    </row>
    <row r="277" spans="2:11" x14ac:dyDescent="0.35">
      <c r="B277" s="4"/>
      <c r="C277" s="4"/>
      <c r="D277" s="44"/>
      <c r="E277" s="94">
        <v>38.67</v>
      </c>
      <c r="F277">
        <f t="shared" si="8"/>
        <v>38.67</v>
      </c>
      <c r="G277" s="74">
        <f t="shared" si="7"/>
        <v>24.855128403065393</v>
      </c>
      <c r="K277" s="38"/>
    </row>
    <row r="278" spans="2:11" x14ac:dyDescent="0.35">
      <c r="B278" s="4"/>
      <c r="C278" s="4"/>
      <c r="D278" s="44"/>
      <c r="E278" s="94">
        <v>35.82</v>
      </c>
      <c r="F278">
        <f t="shared" si="8"/>
        <v>35.82</v>
      </c>
      <c r="G278" s="74">
        <f t="shared" si="7"/>
        <v>23.023291942017128</v>
      </c>
      <c r="K278" s="38"/>
    </row>
    <row r="279" spans="2:11" x14ac:dyDescent="0.35">
      <c r="B279" s="4"/>
      <c r="C279" s="4"/>
      <c r="D279" s="44"/>
      <c r="E279" s="94">
        <v>42.07</v>
      </c>
      <c r="F279">
        <f t="shared" si="8"/>
        <v>42.07</v>
      </c>
      <c r="G279" s="74">
        <f t="shared" si="7"/>
        <v>27.040477163614199</v>
      </c>
      <c r="K279" s="38"/>
    </row>
    <row r="280" spans="2:11" x14ac:dyDescent="0.35">
      <c r="B280" s="4"/>
      <c r="C280" s="4"/>
      <c r="D280" s="44"/>
      <c r="E280" s="94">
        <v>42.97</v>
      </c>
      <c r="F280">
        <f t="shared" si="8"/>
        <v>42.97</v>
      </c>
      <c r="G280" s="74">
        <f t="shared" si="7"/>
        <v>27.618951835524175</v>
      </c>
      <c r="K280" s="38"/>
    </row>
    <row r="281" spans="2:11" x14ac:dyDescent="0.35">
      <c r="B281" s="4"/>
      <c r="C281" s="4"/>
      <c r="D281" s="44"/>
      <c r="E281" s="94">
        <v>36.369999999999997</v>
      </c>
      <c r="F281">
        <f t="shared" si="8"/>
        <v>36.369999999999997</v>
      </c>
      <c r="G281" s="74">
        <f t="shared" si="7"/>
        <v>23.376804241517668</v>
      </c>
      <c r="K281" s="38"/>
    </row>
    <row r="282" spans="2:11" x14ac:dyDescent="0.35">
      <c r="B282" s="4"/>
      <c r="C282" s="4"/>
      <c r="D282" s="44"/>
      <c r="E282" s="94">
        <v>32.28</v>
      </c>
      <c r="F282">
        <f t="shared" si="8"/>
        <v>32.28</v>
      </c>
      <c r="G282" s="74">
        <f t="shared" si="7"/>
        <v>20.747958232504548</v>
      </c>
      <c r="K282" s="38"/>
    </row>
    <row r="283" spans="2:11" x14ac:dyDescent="0.35">
      <c r="B283" s="4"/>
      <c r="C283" s="4"/>
      <c r="D283" s="44"/>
      <c r="E283" s="94">
        <v>33.729999999999997</v>
      </c>
      <c r="F283">
        <f t="shared" si="8"/>
        <v>33.729999999999997</v>
      </c>
      <c r="G283" s="74">
        <f t="shared" si="7"/>
        <v>21.679945203915064</v>
      </c>
      <c r="K283" s="38"/>
    </row>
    <row r="284" spans="2:11" x14ac:dyDescent="0.35">
      <c r="B284" s="4"/>
      <c r="C284" s="4"/>
      <c r="D284" s="44"/>
      <c r="E284" s="94">
        <v>30.11</v>
      </c>
      <c r="F284">
        <f t="shared" si="8"/>
        <v>30.11</v>
      </c>
      <c r="G284" s="74">
        <f t="shared" ref="G284:G347" si="9">F284*EXP($C$15*(C$16-25))</f>
        <v>19.353191523566043</v>
      </c>
      <c r="K284" s="38"/>
    </row>
    <row r="285" spans="2:11" x14ac:dyDescent="0.35">
      <c r="B285" s="4"/>
      <c r="C285" s="4"/>
      <c r="D285" s="44"/>
      <c r="E285" s="94">
        <v>28.03</v>
      </c>
      <c r="F285">
        <f t="shared" si="8"/>
        <v>28.03</v>
      </c>
      <c r="G285" s="74">
        <f t="shared" si="9"/>
        <v>18.016272281818541</v>
      </c>
      <c r="K285" s="38"/>
    </row>
    <row r="286" spans="2:11" x14ac:dyDescent="0.35">
      <c r="B286" s="4"/>
      <c r="C286" s="4"/>
      <c r="D286" s="44"/>
      <c r="E286" s="94">
        <v>27.26</v>
      </c>
      <c r="F286">
        <f t="shared" si="8"/>
        <v>27.26</v>
      </c>
      <c r="G286" s="74">
        <f t="shared" si="9"/>
        <v>17.521355062517781</v>
      </c>
      <c r="K286" s="38"/>
    </row>
    <row r="287" spans="2:11" x14ac:dyDescent="0.35">
      <c r="B287" s="4"/>
      <c r="C287" s="4"/>
      <c r="D287" s="44"/>
      <c r="E287" s="94">
        <v>23.86</v>
      </c>
      <c r="F287">
        <f t="shared" si="8"/>
        <v>23.86</v>
      </c>
      <c r="G287" s="74">
        <f t="shared" si="9"/>
        <v>15.336006301968974</v>
      </c>
      <c r="K287" s="38"/>
    </row>
    <row r="288" spans="2:11" x14ac:dyDescent="0.35">
      <c r="B288" s="4"/>
      <c r="C288" s="4"/>
      <c r="D288" s="44"/>
      <c r="E288" s="94">
        <v>26.67</v>
      </c>
      <c r="F288">
        <f t="shared" si="8"/>
        <v>26.67</v>
      </c>
      <c r="G288" s="74">
        <f t="shared" si="9"/>
        <v>17.14213277759902</v>
      </c>
      <c r="K288" s="38"/>
    </row>
    <row r="289" spans="2:11" x14ac:dyDescent="0.35">
      <c r="B289" s="4"/>
      <c r="C289" s="4"/>
      <c r="D289" s="44"/>
      <c r="E289" s="94">
        <v>21.56</v>
      </c>
      <c r="F289">
        <f t="shared" si="8"/>
        <v>21.56</v>
      </c>
      <c r="G289" s="74">
        <f t="shared" si="9"/>
        <v>13.857682140421252</v>
      </c>
      <c r="K289" s="38"/>
    </row>
    <row r="290" spans="2:11" x14ac:dyDescent="0.35">
      <c r="B290" s="4"/>
      <c r="C290" s="4"/>
      <c r="D290" s="44"/>
      <c r="E290" s="94">
        <v>21.94</v>
      </c>
      <c r="F290">
        <f t="shared" si="8"/>
        <v>21.94</v>
      </c>
      <c r="G290" s="74">
        <f t="shared" si="9"/>
        <v>14.101927001894355</v>
      </c>
      <c r="K290" s="38"/>
    </row>
    <row r="291" spans="2:11" x14ac:dyDescent="0.35">
      <c r="B291" s="4"/>
      <c r="C291" s="4"/>
      <c r="D291" s="44"/>
      <c r="E291" s="94">
        <v>22.88</v>
      </c>
      <c r="F291">
        <f t="shared" si="8"/>
        <v>22.88</v>
      </c>
      <c r="G291" s="74">
        <f t="shared" si="9"/>
        <v>14.706111659222554</v>
      </c>
      <c r="K291" s="38"/>
    </row>
    <row r="292" spans="2:11" x14ac:dyDescent="0.35">
      <c r="B292" s="4"/>
      <c r="C292" s="4"/>
      <c r="D292" s="44"/>
      <c r="E292" s="94">
        <v>22.5</v>
      </c>
      <c r="F292">
        <f t="shared" si="8"/>
        <v>22.5</v>
      </c>
      <c r="G292" s="74">
        <f t="shared" si="9"/>
        <v>14.461866797749453</v>
      </c>
      <c r="K292" s="38"/>
    </row>
    <row r="293" spans="2:11" x14ac:dyDescent="0.35">
      <c r="B293" s="4"/>
      <c r="C293" s="4"/>
      <c r="D293" s="44"/>
      <c r="E293" s="94">
        <v>19.82</v>
      </c>
      <c r="F293">
        <f t="shared" si="8"/>
        <v>19.82</v>
      </c>
      <c r="G293" s="74">
        <f t="shared" si="9"/>
        <v>12.739297774728628</v>
      </c>
      <c r="K293" s="38"/>
    </row>
    <row r="294" spans="2:11" x14ac:dyDescent="0.35">
      <c r="B294" s="4"/>
      <c r="C294" s="4"/>
      <c r="D294" s="44"/>
      <c r="E294" s="94">
        <v>18.16</v>
      </c>
      <c r="F294">
        <f t="shared" si="8"/>
        <v>18.16</v>
      </c>
      <c r="G294" s="74">
        <f t="shared" si="9"/>
        <v>11.672333379872446</v>
      </c>
      <c r="K294" s="38"/>
    </row>
    <row r="295" spans="2:11" x14ac:dyDescent="0.35">
      <c r="B295" s="4"/>
      <c r="C295" s="4"/>
      <c r="D295" s="44"/>
      <c r="E295" s="94">
        <v>18.16</v>
      </c>
      <c r="F295">
        <f t="shared" si="8"/>
        <v>18.16</v>
      </c>
      <c r="G295" s="74">
        <f t="shared" si="9"/>
        <v>11.672333379872446</v>
      </c>
      <c r="K295" s="38"/>
    </row>
    <row r="296" spans="2:11" x14ac:dyDescent="0.35">
      <c r="B296" s="4"/>
      <c r="C296" s="4"/>
      <c r="D296" s="44"/>
      <c r="E296" s="94">
        <v>19.82</v>
      </c>
      <c r="F296">
        <f t="shared" si="8"/>
        <v>19.82</v>
      </c>
      <c r="G296" s="74">
        <f t="shared" si="9"/>
        <v>12.739297774728628</v>
      </c>
      <c r="K296" s="38"/>
    </row>
    <row r="297" spans="2:11" x14ac:dyDescent="0.35">
      <c r="B297" s="4"/>
      <c r="C297" s="4"/>
      <c r="D297" s="44"/>
      <c r="E297" s="94">
        <v>17.18</v>
      </c>
      <c r="F297">
        <f t="shared" si="8"/>
        <v>17.18</v>
      </c>
      <c r="G297" s="74">
        <f t="shared" si="9"/>
        <v>11.042438737126027</v>
      </c>
      <c r="K297" s="38"/>
    </row>
    <row r="298" spans="2:11" x14ac:dyDescent="0.35">
      <c r="B298" s="4"/>
      <c r="C298" s="4"/>
      <c r="D298" s="44"/>
      <c r="E298" s="94">
        <v>18.239999999999998</v>
      </c>
      <c r="F298">
        <f t="shared" si="8"/>
        <v>18.239999999999998</v>
      </c>
      <c r="G298" s="74">
        <f t="shared" si="9"/>
        <v>11.723753350708888</v>
      </c>
      <c r="K298" s="38"/>
    </row>
    <row r="299" spans="2:11" x14ac:dyDescent="0.35">
      <c r="B299" s="4"/>
      <c r="C299" s="4"/>
      <c r="D299" s="44"/>
      <c r="E299" s="94">
        <v>17.09</v>
      </c>
      <c r="F299">
        <f t="shared" si="8"/>
        <v>17.09</v>
      </c>
      <c r="G299" s="74">
        <f t="shared" si="9"/>
        <v>10.984591269935029</v>
      </c>
      <c r="K299" s="38"/>
    </row>
    <row r="300" spans="2:11" x14ac:dyDescent="0.35">
      <c r="B300" s="4"/>
      <c r="C300" s="4"/>
      <c r="D300" s="44"/>
      <c r="E300" s="94">
        <v>16.84</v>
      </c>
      <c r="F300">
        <f t="shared" si="8"/>
        <v>16.84</v>
      </c>
      <c r="G300" s="74">
        <f t="shared" si="9"/>
        <v>10.823903861071145</v>
      </c>
      <c r="K300" s="38"/>
    </row>
    <row r="301" spans="2:11" x14ac:dyDescent="0.35">
      <c r="B301" s="4"/>
      <c r="C301" s="4"/>
      <c r="D301" s="44"/>
      <c r="E301" s="94">
        <v>17.39</v>
      </c>
      <c r="F301">
        <f t="shared" si="8"/>
        <v>17.39</v>
      </c>
      <c r="G301" s="74">
        <f t="shared" si="9"/>
        <v>11.177416160571688</v>
      </c>
      <c r="K301" s="38"/>
    </row>
    <row r="302" spans="2:11" x14ac:dyDescent="0.35">
      <c r="B302" s="4"/>
      <c r="C302" s="4"/>
      <c r="D302" s="44"/>
      <c r="E302" s="94">
        <v>16.62</v>
      </c>
      <c r="F302">
        <f t="shared" si="8"/>
        <v>16.62</v>
      </c>
      <c r="G302" s="74">
        <f t="shared" si="9"/>
        <v>10.682498941270929</v>
      </c>
      <c r="K302" s="38"/>
    </row>
    <row r="303" spans="2:11" x14ac:dyDescent="0.35">
      <c r="B303" s="4"/>
      <c r="C303" s="4"/>
      <c r="D303" s="44"/>
      <c r="E303" s="94">
        <v>17.690000000000001</v>
      </c>
      <c r="F303">
        <f t="shared" si="8"/>
        <v>17.690000000000001</v>
      </c>
      <c r="G303" s="74">
        <f t="shared" si="9"/>
        <v>11.370241051208348</v>
      </c>
      <c r="K303" s="38"/>
    </row>
    <row r="304" spans="2:11" x14ac:dyDescent="0.35">
      <c r="B304" s="4"/>
      <c r="C304" s="4"/>
      <c r="D304" s="44"/>
      <c r="E304" s="94">
        <v>13.65</v>
      </c>
      <c r="F304">
        <f t="shared" si="8"/>
        <v>13.65</v>
      </c>
      <c r="G304" s="74">
        <f t="shared" si="9"/>
        <v>8.7735325239680009</v>
      </c>
      <c r="K304" s="38"/>
    </row>
    <row r="305" spans="2:11" x14ac:dyDescent="0.35">
      <c r="B305" s="4"/>
      <c r="C305" s="4"/>
      <c r="D305" s="44"/>
      <c r="E305" s="94">
        <v>16.920000000000002</v>
      </c>
      <c r="F305">
        <f t="shared" si="8"/>
        <v>16.920000000000002</v>
      </c>
      <c r="G305" s="74">
        <f t="shared" si="9"/>
        <v>10.87532383190759</v>
      </c>
      <c r="K305" s="38"/>
    </row>
    <row r="306" spans="2:11" x14ac:dyDescent="0.35">
      <c r="B306" s="4"/>
      <c r="C306" s="4"/>
      <c r="D306" s="44"/>
      <c r="E306" s="94">
        <v>15.77</v>
      </c>
      <c r="F306">
        <f t="shared" si="8"/>
        <v>15.77</v>
      </c>
      <c r="G306" s="74">
        <f t="shared" si="9"/>
        <v>10.136161751133727</v>
      </c>
      <c r="K306" s="38"/>
    </row>
    <row r="307" spans="2:11" x14ac:dyDescent="0.35">
      <c r="B307" s="4"/>
      <c r="C307" s="4"/>
      <c r="D307" s="44"/>
      <c r="E307" s="94">
        <v>14.03</v>
      </c>
      <c r="F307">
        <f t="shared" si="8"/>
        <v>14.03</v>
      </c>
      <c r="G307" s="74">
        <f t="shared" si="9"/>
        <v>9.0177773854411019</v>
      </c>
      <c r="K307" s="38"/>
    </row>
    <row r="308" spans="2:11" x14ac:dyDescent="0.35">
      <c r="B308" s="4"/>
      <c r="C308" s="4"/>
      <c r="D308" s="44"/>
      <c r="E308" s="94">
        <v>13.65</v>
      </c>
      <c r="F308">
        <f t="shared" si="8"/>
        <v>13.65</v>
      </c>
      <c r="G308" s="74">
        <f t="shared" si="9"/>
        <v>8.7735325239680009</v>
      </c>
      <c r="K308" s="38"/>
    </row>
    <row r="309" spans="2:11" x14ac:dyDescent="0.35">
      <c r="B309" s="4"/>
      <c r="C309" s="4"/>
      <c r="D309" s="44"/>
      <c r="E309" s="94">
        <v>14.5</v>
      </c>
      <c r="F309">
        <f t="shared" si="8"/>
        <v>14.5</v>
      </c>
      <c r="G309" s="74">
        <f t="shared" si="9"/>
        <v>9.3198697141052023</v>
      </c>
      <c r="K309" s="38"/>
    </row>
    <row r="310" spans="2:11" x14ac:dyDescent="0.35">
      <c r="B310" s="4"/>
      <c r="C310" s="4"/>
      <c r="D310" s="44"/>
      <c r="E310" s="94">
        <v>13.56</v>
      </c>
      <c r="F310">
        <f t="shared" si="8"/>
        <v>13.56</v>
      </c>
      <c r="G310" s="74">
        <f t="shared" si="9"/>
        <v>8.7156850567770032</v>
      </c>
      <c r="K310" s="38"/>
    </row>
    <row r="311" spans="2:11" x14ac:dyDescent="0.35">
      <c r="B311" s="4"/>
      <c r="C311" s="4"/>
      <c r="D311" s="44"/>
      <c r="E311" s="94">
        <v>12.24</v>
      </c>
      <c r="F311">
        <f t="shared" si="8"/>
        <v>12.24</v>
      </c>
      <c r="G311" s="74">
        <f t="shared" si="9"/>
        <v>7.8672555379757023</v>
      </c>
      <c r="K311" s="38"/>
    </row>
    <row r="312" spans="2:11" x14ac:dyDescent="0.35">
      <c r="B312" s="4"/>
      <c r="C312" s="4"/>
      <c r="D312" s="44"/>
      <c r="E312" s="94">
        <v>11.6</v>
      </c>
      <c r="F312">
        <f t="shared" si="8"/>
        <v>11.6</v>
      </c>
      <c r="G312" s="74">
        <f t="shared" si="9"/>
        <v>7.4558957712841618</v>
      </c>
      <c r="K312" s="38"/>
    </row>
    <row r="313" spans="2:11" x14ac:dyDescent="0.35">
      <c r="B313" s="4"/>
      <c r="C313" s="4"/>
      <c r="D313" s="44"/>
      <c r="E313" s="94">
        <v>12.33</v>
      </c>
      <c r="F313">
        <f t="shared" si="8"/>
        <v>12.33</v>
      </c>
      <c r="G313" s="74">
        <f t="shared" si="9"/>
        <v>7.9251030051667</v>
      </c>
      <c r="K313" s="38"/>
    </row>
    <row r="314" spans="2:11" x14ac:dyDescent="0.35">
      <c r="B314" s="4"/>
      <c r="C314" s="4"/>
      <c r="D314" s="44"/>
      <c r="E314" s="94">
        <v>10.75</v>
      </c>
      <c r="F314">
        <f t="shared" si="8"/>
        <v>10.75</v>
      </c>
      <c r="G314" s="74">
        <f t="shared" si="9"/>
        <v>6.9095585811469604</v>
      </c>
      <c r="K314" s="38"/>
    </row>
    <row r="315" spans="2:11" x14ac:dyDescent="0.35">
      <c r="B315" s="4"/>
      <c r="C315" s="4"/>
      <c r="D315" s="44"/>
      <c r="E315" s="94">
        <v>10.62</v>
      </c>
      <c r="F315">
        <f t="shared" si="8"/>
        <v>10.62</v>
      </c>
      <c r="G315" s="74">
        <f t="shared" si="9"/>
        <v>6.8260011285377411</v>
      </c>
      <c r="K315" s="38"/>
    </row>
    <row r="316" spans="2:11" x14ac:dyDescent="0.35">
      <c r="B316" s="4"/>
      <c r="C316" s="4"/>
      <c r="D316" s="44"/>
      <c r="E316" s="94">
        <v>10.41</v>
      </c>
      <c r="F316">
        <f t="shared" si="8"/>
        <v>10.41</v>
      </c>
      <c r="G316" s="74">
        <f t="shared" si="9"/>
        <v>6.6910237050920802</v>
      </c>
      <c r="K316" s="38"/>
    </row>
    <row r="317" spans="2:11" x14ac:dyDescent="0.35">
      <c r="B317" s="4"/>
      <c r="C317" s="4"/>
      <c r="D317" s="44"/>
      <c r="E317" s="94">
        <v>9.86</v>
      </c>
      <c r="F317">
        <f t="shared" si="8"/>
        <v>9.86</v>
      </c>
      <c r="G317" s="74">
        <f t="shared" si="9"/>
        <v>6.3375114055915374</v>
      </c>
      <c r="K317" s="38"/>
    </row>
    <row r="318" spans="2:11" x14ac:dyDescent="0.35">
      <c r="B318" s="4"/>
      <c r="C318" s="4"/>
      <c r="D318" s="44"/>
      <c r="E318" s="94">
        <v>9.01</v>
      </c>
      <c r="F318">
        <f t="shared" si="8"/>
        <v>9.01</v>
      </c>
      <c r="G318" s="74">
        <f t="shared" si="9"/>
        <v>5.791174215454336</v>
      </c>
      <c r="K318" s="38"/>
    </row>
    <row r="319" spans="2:11" x14ac:dyDescent="0.35">
      <c r="B319" s="4"/>
      <c r="C319" s="4"/>
      <c r="D319" s="44"/>
      <c r="E319" s="94">
        <v>6.84</v>
      </c>
      <c r="F319">
        <f t="shared" ref="F319:F382" si="10">IF(E319&gt;0,E319,0)</f>
        <v>6.84</v>
      </c>
      <c r="G319" s="74">
        <f t="shared" si="9"/>
        <v>4.3964075065158337</v>
      </c>
      <c r="K319" s="38"/>
    </row>
    <row r="320" spans="2:11" x14ac:dyDescent="0.35">
      <c r="B320" s="4"/>
      <c r="C320" s="4"/>
      <c r="D320" s="44"/>
      <c r="E320" s="94">
        <v>7.09</v>
      </c>
      <c r="F320">
        <f t="shared" si="10"/>
        <v>7.09</v>
      </c>
      <c r="G320" s="74">
        <f t="shared" si="9"/>
        <v>4.5570949153797162</v>
      </c>
      <c r="K320" s="38"/>
    </row>
    <row r="321" spans="2:11" x14ac:dyDescent="0.35">
      <c r="B321" s="4"/>
      <c r="C321" s="4"/>
      <c r="D321" s="44"/>
      <c r="E321" s="94">
        <v>7.52</v>
      </c>
      <c r="F321">
        <f t="shared" si="10"/>
        <v>7.52</v>
      </c>
      <c r="G321" s="74">
        <f t="shared" si="9"/>
        <v>4.8334772586255941</v>
      </c>
      <c r="K321" s="38"/>
    </row>
    <row r="322" spans="2:11" x14ac:dyDescent="0.35">
      <c r="B322" s="4"/>
      <c r="C322" s="4"/>
      <c r="D322" s="44"/>
      <c r="E322" s="94">
        <v>7.31</v>
      </c>
      <c r="F322">
        <f t="shared" si="10"/>
        <v>7.31</v>
      </c>
      <c r="G322" s="74">
        <f t="shared" si="9"/>
        <v>4.6984998351799332</v>
      </c>
      <c r="K322" s="38"/>
    </row>
    <row r="323" spans="2:11" x14ac:dyDescent="0.35">
      <c r="B323" s="4"/>
      <c r="C323" s="4"/>
      <c r="D323" s="44"/>
      <c r="E323" s="94">
        <v>7.52</v>
      </c>
      <c r="F323">
        <f t="shared" si="10"/>
        <v>7.52</v>
      </c>
      <c r="G323" s="74">
        <f t="shared" si="9"/>
        <v>4.8334772586255941</v>
      </c>
      <c r="K323" s="38"/>
    </row>
    <row r="324" spans="2:11" x14ac:dyDescent="0.35">
      <c r="B324" s="4"/>
      <c r="C324" s="4"/>
      <c r="D324" s="44"/>
      <c r="E324" s="94">
        <v>6.88</v>
      </c>
      <c r="F324">
        <f t="shared" si="10"/>
        <v>6.88</v>
      </c>
      <c r="G324" s="74">
        <f t="shared" si="9"/>
        <v>4.4221174919340545</v>
      </c>
      <c r="K324" s="38"/>
    </row>
    <row r="325" spans="2:11" x14ac:dyDescent="0.35">
      <c r="B325" s="4"/>
      <c r="C325" s="4"/>
      <c r="D325" s="44"/>
      <c r="E325" s="94">
        <v>6.62</v>
      </c>
      <c r="F325">
        <f t="shared" si="10"/>
        <v>6.62</v>
      </c>
      <c r="G325" s="74">
        <f t="shared" si="9"/>
        <v>4.2550025867156167</v>
      </c>
      <c r="K325" s="38"/>
    </row>
    <row r="326" spans="2:11" x14ac:dyDescent="0.35">
      <c r="B326" s="4"/>
      <c r="C326" s="4"/>
      <c r="D326" s="44"/>
      <c r="E326" s="94">
        <v>5.39</v>
      </c>
      <c r="F326">
        <f t="shared" si="10"/>
        <v>5.39</v>
      </c>
      <c r="G326" s="74">
        <f t="shared" si="9"/>
        <v>3.464420535105313</v>
      </c>
      <c r="K326" s="38"/>
    </row>
    <row r="327" spans="2:11" x14ac:dyDescent="0.35">
      <c r="B327" s="4"/>
      <c r="C327" s="4"/>
      <c r="D327" s="44"/>
      <c r="E327" s="94">
        <v>3.9</v>
      </c>
      <c r="F327">
        <f t="shared" si="10"/>
        <v>3.9</v>
      </c>
      <c r="G327" s="74">
        <f t="shared" si="9"/>
        <v>2.5067235782765716</v>
      </c>
      <c r="K327" s="38"/>
    </row>
    <row r="328" spans="2:11" x14ac:dyDescent="0.35">
      <c r="B328" s="4"/>
      <c r="C328" s="4"/>
      <c r="D328" s="44"/>
      <c r="E328" s="94">
        <v>3.86</v>
      </c>
      <c r="F328">
        <f t="shared" si="10"/>
        <v>3.86</v>
      </c>
      <c r="G328" s="74">
        <f t="shared" si="9"/>
        <v>2.4810135928583503</v>
      </c>
      <c r="K328" s="38"/>
    </row>
    <row r="329" spans="2:11" x14ac:dyDescent="0.35">
      <c r="B329" s="4"/>
      <c r="C329" s="4"/>
      <c r="D329" s="44"/>
      <c r="E329" s="94">
        <v>3.52</v>
      </c>
      <c r="F329">
        <f t="shared" si="10"/>
        <v>3.52</v>
      </c>
      <c r="G329" s="74">
        <f t="shared" si="9"/>
        <v>2.2624787168034697</v>
      </c>
      <c r="K329" s="38"/>
    </row>
    <row r="330" spans="2:11" x14ac:dyDescent="0.35">
      <c r="B330" s="4"/>
      <c r="C330" s="4"/>
      <c r="D330" s="44"/>
      <c r="E330" s="94">
        <v>3.3</v>
      </c>
      <c r="F330">
        <f t="shared" si="10"/>
        <v>3.3</v>
      </c>
      <c r="G330" s="74">
        <f t="shared" si="9"/>
        <v>2.1210737970032527</v>
      </c>
      <c r="K330" s="38"/>
    </row>
    <row r="331" spans="2:11" x14ac:dyDescent="0.35">
      <c r="B331" s="4"/>
      <c r="C331" s="4"/>
      <c r="D331" s="44"/>
      <c r="E331" s="94">
        <v>2.92</v>
      </c>
      <c r="F331">
        <f t="shared" si="10"/>
        <v>2.92</v>
      </c>
      <c r="G331" s="74">
        <f t="shared" si="9"/>
        <v>1.8768289355301511</v>
      </c>
      <c r="K331" s="38"/>
    </row>
    <row r="332" spans="2:11" x14ac:dyDescent="0.35">
      <c r="B332" s="4"/>
      <c r="C332" s="4"/>
      <c r="D332" s="44"/>
      <c r="E332" s="94">
        <v>3.35</v>
      </c>
      <c r="F332">
        <f t="shared" si="10"/>
        <v>3.35</v>
      </c>
      <c r="G332" s="74">
        <f t="shared" si="9"/>
        <v>2.1532112787760296</v>
      </c>
      <c r="K332" s="38"/>
    </row>
    <row r="333" spans="2:11" x14ac:dyDescent="0.35">
      <c r="B333" s="4"/>
      <c r="C333" s="4"/>
      <c r="D333" s="44"/>
      <c r="E333" s="94">
        <v>4.24</v>
      </c>
      <c r="F333">
        <f t="shared" si="10"/>
        <v>4.24</v>
      </c>
      <c r="G333" s="74">
        <f t="shared" si="9"/>
        <v>2.7252584543314526</v>
      </c>
      <c r="K333" s="38"/>
    </row>
    <row r="334" spans="2:11" x14ac:dyDescent="0.35">
      <c r="B334" s="4"/>
      <c r="C334" s="4"/>
      <c r="D334" s="44"/>
      <c r="E334" s="94">
        <v>3.6</v>
      </c>
      <c r="F334">
        <f t="shared" si="10"/>
        <v>3.6</v>
      </c>
      <c r="G334" s="74">
        <f t="shared" si="9"/>
        <v>2.3138986876399126</v>
      </c>
      <c r="K334" s="38"/>
    </row>
    <row r="335" spans="2:11" x14ac:dyDescent="0.35">
      <c r="B335" s="4"/>
      <c r="C335" s="4"/>
      <c r="D335" s="44"/>
      <c r="E335" s="94">
        <v>2.92</v>
      </c>
      <c r="F335">
        <f t="shared" si="10"/>
        <v>2.92</v>
      </c>
      <c r="G335" s="74">
        <f t="shared" si="9"/>
        <v>1.8768289355301511</v>
      </c>
      <c r="K335" s="38"/>
    </row>
    <row r="336" spans="2:11" x14ac:dyDescent="0.35">
      <c r="B336" s="4"/>
      <c r="C336" s="4"/>
      <c r="D336" s="44"/>
      <c r="E336" s="94">
        <v>2.41</v>
      </c>
      <c r="F336">
        <f t="shared" si="10"/>
        <v>2.41</v>
      </c>
      <c r="G336" s="74">
        <f t="shared" si="9"/>
        <v>1.5490266214478303</v>
      </c>
      <c r="K336" s="38"/>
    </row>
    <row r="337" spans="2:11" x14ac:dyDescent="0.35">
      <c r="B337" s="4"/>
      <c r="C337" s="4"/>
      <c r="D337" s="44"/>
      <c r="E337" s="94">
        <v>2.62</v>
      </c>
      <c r="F337">
        <f t="shared" si="10"/>
        <v>2.62</v>
      </c>
      <c r="G337" s="74">
        <f t="shared" si="9"/>
        <v>1.6840040448934919</v>
      </c>
      <c r="K337" s="38"/>
    </row>
    <row r="338" spans="2:11" x14ac:dyDescent="0.35">
      <c r="B338" s="4"/>
      <c r="C338" s="4"/>
      <c r="D338" s="44"/>
      <c r="E338" s="94">
        <v>3.22</v>
      </c>
      <c r="F338">
        <f t="shared" si="10"/>
        <v>3.22</v>
      </c>
      <c r="G338" s="74">
        <f t="shared" si="9"/>
        <v>2.0696538261668107</v>
      </c>
      <c r="K338" s="38"/>
    </row>
    <row r="339" spans="2:11" x14ac:dyDescent="0.35">
      <c r="B339" s="4"/>
      <c r="C339" s="4"/>
      <c r="D339" s="44"/>
      <c r="E339" s="94">
        <v>3.52</v>
      </c>
      <c r="F339">
        <f t="shared" si="10"/>
        <v>3.52</v>
      </c>
      <c r="G339" s="74">
        <f t="shared" si="9"/>
        <v>2.2624787168034697</v>
      </c>
      <c r="K339" s="38"/>
    </row>
    <row r="340" spans="2:11" x14ac:dyDescent="0.35">
      <c r="B340" s="4"/>
      <c r="C340" s="4"/>
      <c r="D340" s="44"/>
      <c r="E340" s="94">
        <v>2.84</v>
      </c>
      <c r="F340">
        <f t="shared" si="10"/>
        <v>2.84</v>
      </c>
      <c r="G340" s="74">
        <f t="shared" si="9"/>
        <v>1.8254089646937086</v>
      </c>
      <c r="K340" s="38"/>
    </row>
    <row r="341" spans="2:11" x14ac:dyDescent="0.35">
      <c r="B341" s="4"/>
      <c r="C341" s="4"/>
      <c r="D341" s="44"/>
      <c r="E341" s="94">
        <v>2.71</v>
      </c>
      <c r="F341">
        <f t="shared" si="10"/>
        <v>2.71</v>
      </c>
      <c r="G341" s="74">
        <f t="shared" si="9"/>
        <v>1.7418515120844895</v>
      </c>
      <c r="K341" s="38"/>
    </row>
    <row r="342" spans="2:11" x14ac:dyDescent="0.35">
      <c r="B342" s="4"/>
      <c r="C342" s="4"/>
      <c r="D342" s="44"/>
      <c r="E342" s="94">
        <v>2.41</v>
      </c>
      <c r="F342">
        <f t="shared" si="10"/>
        <v>2.41</v>
      </c>
      <c r="G342" s="74">
        <f t="shared" si="9"/>
        <v>1.5490266214478303</v>
      </c>
      <c r="K342" s="38"/>
    </row>
    <row r="343" spans="2:11" x14ac:dyDescent="0.35">
      <c r="B343" s="4"/>
      <c r="C343" s="4"/>
      <c r="D343" s="44"/>
      <c r="E343" s="94">
        <v>2.2799999999999998</v>
      </c>
      <c r="F343">
        <f t="shared" si="10"/>
        <v>2.2799999999999998</v>
      </c>
      <c r="G343" s="74">
        <f t="shared" si="9"/>
        <v>1.465469168838611</v>
      </c>
      <c r="K343" s="38"/>
    </row>
    <row r="344" spans="2:11" x14ac:dyDescent="0.35">
      <c r="B344" s="4"/>
      <c r="C344" s="4"/>
      <c r="D344" s="44"/>
      <c r="E344" s="94">
        <v>2.2799999999999998</v>
      </c>
      <c r="F344">
        <f t="shared" si="10"/>
        <v>2.2799999999999998</v>
      </c>
      <c r="G344" s="74">
        <f t="shared" si="9"/>
        <v>1.465469168838611</v>
      </c>
      <c r="K344" s="38"/>
    </row>
    <row r="345" spans="2:11" x14ac:dyDescent="0.35">
      <c r="B345" s="4"/>
      <c r="C345" s="4"/>
      <c r="D345" s="44"/>
      <c r="E345" s="94">
        <v>1.39</v>
      </c>
      <c r="F345">
        <f t="shared" si="10"/>
        <v>1.39</v>
      </c>
      <c r="G345" s="74">
        <f t="shared" si="9"/>
        <v>0.89342199328318828</v>
      </c>
      <c r="K345" s="38"/>
    </row>
    <row r="346" spans="2:11" x14ac:dyDescent="0.35">
      <c r="B346" s="4"/>
      <c r="C346" s="4"/>
      <c r="D346" s="44"/>
      <c r="E346" s="94">
        <v>1.39</v>
      </c>
      <c r="F346">
        <f t="shared" si="10"/>
        <v>1.39</v>
      </c>
      <c r="G346" s="74">
        <f t="shared" si="9"/>
        <v>0.89342199328318828</v>
      </c>
      <c r="K346" s="38"/>
    </row>
    <row r="347" spans="2:11" x14ac:dyDescent="0.35">
      <c r="B347" s="4"/>
      <c r="C347" s="4"/>
      <c r="D347" s="44"/>
      <c r="E347" s="94">
        <v>1.73</v>
      </c>
      <c r="F347">
        <f t="shared" si="10"/>
        <v>1.73</v>
      </c>
      <c r="G347" s="74">
        <f t="shared" si="9"/>
        <v>1.111956869338069</v>
      </c>
      <c r="K347" s="38"/>
    </row>
    <row r="348" spans="2:11" x14ac:dyDescent="0.35">
      <c r="B348" s="4"/>
      <c r="C348" s="4"/>
      <c r="D348" s="44"/>
      <c r="E348" s="94">
        <v>1.56</v>
      </c>
      <c r="F348">
        <f t="shared" si="10"/>
        <v>1.56</v>
      </c>
      <c r="G348" s="74">
        <f t="shared" ref="G348:G411" si="11">F348*EXP($C$15*(C$16-25))</f>
        <v>1.0026894313106287</v>
      </c>
      <c r="K348" s="38"/>
    </row>
    <row r="349" spans="2:11" x14ac:dyDescent="0.35">
      <c r="B349" s="4"/>
      <c r="C349" s="4"/>
      <c r="D349" s="44"/>
      <c r="E349" s="94">
        <v>2.11</v>
      </c>
      <c r="F349">
        <f t="shared" si="10"/>
        <v>2.11</v>
      </c>
      <c r="G349" s="74">
        <f t="shared" si="11"/>
        <v>1.3562017308111707</v>
      </c>
      <c r="K349" s="38"/>
    </row>
    <row r="350" spans="2:11" x14ac:dyDescent="0.35">
      <c r="B350" s="4"/>
      <c r="C350" s="4"/>
      <c r="D350" s="44"/>
      <c r="E350" s="94">
        <v>1.69</v>
      </c>
      <c r="F350">
        <f t="shared" si="10"/>
        <v>1.69</v>
      </c>
      <c r="G350" s="74">
        <f t="shared" si="11"/>
        <v>1.0862468839198478</v>
      </c>
      <c r="K350" s="38"/>
    </row>
    <row r="351" spans="2:11" x14ac:dyDescent="0.35">
      <c r="B351" s="4"/>
      <c r="C351" s="4"/>
      <c r="D351" s="44"/>
      <c r="E351" s="94">
        <v>1.69</v>
      </c>
      <c r="F351">
        <f t="shared" si="10"/>
        <v>1.69</v>
      </c>
      <c r="G351" s="74">
        <f t="shared" si="11"/>
        <v>1.0862468839198478</v>
      </c>
      <c r="K351" s="38"/>
    </row>
    <row r="352" spans="2:11" x14ac:dyDescent="0.35">
      <c r="B352" s="4"/>
      <c r="C352" s="4"/>
      <c r="D352" s="44"/>
      <c r="E352" s="94">
        <v>1.43</v>
      </c>
      <c r="F352">
        <f t="shared" si="10"/>
        <v>1.43</v>
      </c>
      <c r="G352" s="74">
        <f t="shared" si="11"/>
        <v>0.91913197870140961</v>
      </c>
      <c r="K352" s="38"/>
    </row>
    <row r="353" spans="2:11" x14ac:dyDescent="0.35">
      <c r="B353" s="4"/>
      <c r="C353" s="4"/>
      <c r="D353" s="44"/>
      <c r="E353" s="94">
        <v>1.0900000000000001</v>
      </c>
      <c r="F353">
        <f t="shared" si="10"/>
        <v>1.0900000000000001</v>
      </c>
      <c r="G353" s="74">
        <f t="shared" si="11"/>
        <v>0.70059710264652908</v>
      </c>
      <c r="K353" s="38"/>
    </row>
    <row r="354" spans="2:11" x14ac:dyDescent="0.35">
      <c r="B354" s="4"/>
      <c r="C354" s="4"/>
      <c r="D354" s="44"/>
      <c r="E354" s="94">
        <v>1.52</v>
      </c>
      <c r="F354">
        <f t="shared" si="10"/>
        <v>1.52</v>
      </c>
      <c r="G354" s="74">
        <f t="shared" si="11"/>
        <v>0.97697944589240748</v>
      </c>
      <c r="K354" s="38"/>
    </row>
    <row r="355" spans="2:11" x14ac:dyDescent="0.35">
      <c r="B355" s="4"/>
      <c r="C355" s="4"/>
      <c r="D355" s="44"/>
      <c r="E355" s="94">
        <v>1.43</v>
      </c>
      <c r="F355">
        <f t="shared" si="10"/>
        <v>1.43</v>
      </c>
      <c r="G355" s="74">
        <f t="shared" si="11"/>
        <v>0.91913197870140961</v>
      </c>
      <c r="K355" s="38"/>
    </row>
    <row r="356" spans="2:11" x14ac:dyDescent="0.35">
      <c r="B356" s="4"/>
      <c r="C356" s="4"/>
      <c r="D356" s="44"/>
      <c r="E356" s="94">
        <v>1.0900000000000001</v>
      </c>
      <c r="F356">
        <f t="shared" si="10"/>
        <v>1.0900000000000001</v>
      </c>
      <c r="G356" s="74">
        <f t="shared" si="11"/>
        <v>0.70059710264652908</v>
      </c>
      <c r="K356" s="38"/>
    </row>
    <row r="357" spans="2:11" x14ac:dyDescent="0.35">
      <c r="B357" s="4"/>
      <c r="C357" s="4"/>
      <c r="D357" s="44"/>
      <c r="E357" s="94">
        <v>1.18</v>
      </c>
      <c r="F357">
        <f t="shared" si="10"/>
        <v>1.18</v>
      </c>
      <c r="G357" s="74">
        <f t="shared" si="11"/>
        <v>0.75844456983752684</v>
      </c>
      <c r="K357" s="38"/>
    </row>
    <row r="358" spans="2:11" x14ac:dyDescent="0.35">
      <c r="B358" s="4"/>
      <c r="C358" s="4"/>
      <c r="D358" s="44"/>
      <c r="E358" s="94">
        <v>1.05</v>
      </c>
      <c r="F358">
        <f t="shared" si="10"/>
        <v>1.05</v>
      </c>
      <c r="G358" s="74">
        <f t="shared" si="11"/>
        <v>0.67488711722830785</v>
      </c>
      <c r="K358" s="38"/>
    </row>
    <row r="359" spans="2:11" x14ac:dyDescent="0.35">
      <c r="B359" s="4"/>
      <c r="C359" s="4"/>
      <c r="D359" s="44"/>
      <c r="E359" s="94">
        <v>0.96</v>
      </c>
      <c r="F359">
        <f t="shared" si="10"/>
        <v>0.96</v>
      </c>
      <c r="G359" s="74">
        <f t="shared" si="11"/>
        <v>0.61703965003730998</v>
      </c>
      <c r="K359" s="38"/>
    </row>
    <row r="360" spans="2:11" x14ac:dyDescent="0.35">
      <c r="B360" s="4"/>
      <c r="C360" s="4"/>
      <c r="D360" s="44"/>
      <c r="E360" s="94">
        <v>0.75</v>
      </c>
      <c r="F360">
        <f t="shared" si="10"/>
        <v>0.75</v>
      </c>
      <c r="G360" s="74">
        <f t="shared" si="11"/>
        <v>0.48206222659164844</v>
      </c>
      <c r="K360" s="38"/>
    </row>
    <row r="361" spans="2:11" x14ac:dyDescent="0.35">
      <c r="B361" s="4"/>
      <c r="C361" s="4"/>
      <c r="D361" s="44"/>
      <c r="E361" s="94">
        <v>0.75</v>
      </c>
      <c r="F361">
        <f t="shared" si="10"/>
        <v>0.75</v>
      </c>
      <c r="G361" s="74">
        <f t="shared" si="11"/>
        <v>0.48206222659164844</v>
      </c>
      <c r="K361" s="38"/>
    </row>
    <row r="362" spans="2:11" x14ac:dyDescent="0.35">
      <c r="B362" s="4"/>
      <c r="C362" s="4"/>
      <c r="D362" s="44"/>
      <c r="E362" s="94">
        <v>0.75</v>
      </c>
      <c r="F362">
        <f t="shared" si="10"/>
        <v>0.75</v>
      </c>
      <c r="G362" s="74">
        <f t="shared" si="11"/>
        <v>0.48206222659164844</v>
      </c>
      <c r="K362" s="38"/>
    </row>
    <row r="363" spans="2:11" x14ac:dyDescent="0.35">
      <c r="B363" s="4"/>
      <c r="C363" s="4"/>
      <c r="D363" s="44"/>
      <c r="E363" s="94">
        <v>0.96</v>
      </c>
      <c r="F363">
        <f t="shared" si="10"/>
        <v>0.96</v>
      </c>
      <c r="G363" s="74">
        <f t="shared" si="11"/>
        <v>0.61703965003730998</v>
      </c>
      <c r="K363" s="38"/>
    </row>
    <row r="364" spans="2:11" x14ac:dyDescent="0.35">
      <c r="B364" s="4"/>
      <c r="C364" s="4"/>
      <c r="D364" s="44"/>
      <c r="E364" s="94">
        <v>0.79</v>
      </c>
      <c r="F364">
        <f t="shared" si="10"/>
        <v>0.79</v>
      </c>
      <c r="G364" s="74">
        <f t="shared" si="11"/>
        <v>0.50777221200986966</v>
      </c>
      <c r="K364" s="38"/>
    </row>
    <row r="365" spans="2:11" x14ac:dyDescent="0.35">
      <c r="B365" s="4"/>
      <c r="C365" s="4"/>
      <c r="D365" s="44"/>
      <c r="E365" s="94">
        <v>0.62</v>
      </c>
      <c r="F365">
        <f t="shared" si="10"/>
        <v>0.62</v>
      </c>
      <c r="G365" s="74">
        <f t="shared" si="11"/>
        <v>0.39850477398242934</v>
      </c>
      <c r="K365" s="38"/>
    </row>
    <row r="366" spans="2:11" x14ac:dyDescent="0.35">
      <c r="B366" s="4"/>
      <c r="C366" s="4"/>
      <c r="D366" s="44"/>
      <c r="E366" s="94">
        <v>0.71</v>
      </c>
      <c r="F366">
        <f t="shared" si="10"/>
        <v>0.71</v>
      </c>
      <c r="G366" s="74">
        <f t="shared" si="11"/>
        <v>0.45635224117342715</v>
      </c>
      <c r="K366" s="38"/>
    </row>
    <row r="367" spans="2:11" x14ac:dyDescent="0.35">
      <c r="B367" s="4"/>
      <c r="C367" s="4"/>
      <c r="D367" s="44"/>
      <c r="E367" s="94">
        <v>0.57999999999999996</v>
      </c>
      <c r="F367">
        <f t="shared" si="10"/>
        <v>0.57999999999999996</v>
      </c>
      <c r="G367" s="74">
        <f t="shared" si="11"/>
        <v>0.37279478856420806</v>
      </c>
      <c r="K367" s="38"/>
    </row>
    <row r="368" spans="2:11" x14ac:dyDescent="0.35">
      <c r="B368" s="4"/>
      <c r="C368" s="4"/>
      <c r="D368" s="44"/>
      <c r="E368" s="94">
        <v>0.62</v>
      </c>
      <c r="F368">
        <f t="shared" si="10"/>
        <v>0.62</v>
      </c>
      <c r="G368" s="74">
        <f t="shared" si="11"/>
        <v>0.39850477398242934</v>
      </c>
      <c r="K368" s="38"/>
    </row>
    <row r="369" spans="2:11" x14ac:dyDescent="0.35">
      <c r="B369" s="4"/>
      <c r="C369" s="4"/>
      <c r="D369" s="44"/>
      <c r="E369" s="94">
        <v>0.5</v>
      </c>
      <c r="F369">
        <f t="shared" si="10"/>
        <v>0.5</v>
      </c>
      <c r="G369" s="74">
        <f t="shared" si="11"/>
        <v>0.3213748177277656</v>
      </c>
      <c r="K369" s="38"/>
    </row>
    <row r="370" spans="2:11" x14ac:dyDescent="0.35">
      <c r="B370" s="4"/>
      <c r="C370" s="4"/>
      <c r="D370" s="44"/>
      <c r="E370" s="94">
        <v>0.75</v>
      </c>
      <c r="F370">
        <f t="shared" si="10"/>
        <v>0.75</v>
      </c>
      <c r="G370" s="74">
        <f t="shared" si="11"/>
        <v>0.48206222659164844</v>
      </c>
      <c r="K370" s="38"/>
    </row>
    <row r="371" spans="2:11" x14ac:dyDescent="0.35">
      <c r="B371" s="4"/>
      <c r="C371" s="4"/>
      <c r="D371" s="44"/>
      <c r="E371" s="94">
        <v>0.75</v>
      </c>
      <c r="F371">
        <f t="shared" si="10"/>
        <v>0.75</v>
      </c>
      <c r="G371" s="74">
        <f t="shared" si="11"/>
        <v>0.48206222659164844</v>
      </c>
      <c r="K371" s="38"/>
    </row>
    <row r="372" spans="2:11" x14ac:dyDescent="0.35">
      <c r="B372" s="4"/>
      <c r="C372" s="4"/>
      <c r="D372" s="44"/>
      <c r="E372" s="94">
        <v>0.57999999999999996</v>
      </c>
      <c r="F372">
        <f t="shared" si="10"/>
        <v>0.57999999999999996</v>
      </c>
      <c r="G372" s="74">
        <f t="shared" si="11"/>
        <v>0.37279478856420806</v>
      </c>
      <c r="K372" s="38"/>
    </row>
    <row r="373" spans="2:11" x14ac:dyDescent="0.35">
      <c r="B373" s="4"/>
      <c r="C373" s="4"/>
      <c r="D373" s="44"/>
      <c r="E373" s="94">
        <v>0.5</v>
      </c>
      <c r="F373">
        <f t="shared" si="10"/>
        <v>0.5</v>
      </c>
      <c r="G373" s="74">
        <f t="shared" si="11"/>
        <v>0.3213748177277656</v>
      </c>
      <c r="K373" s="38"/>
    </row>
    <row r="374" spans="2:11" x14ac:dyDescent="0.35">
      <c r="B374" s="4"/>
      <c r="C374" s="4"/>
      <c r="D374" s="44"/>
      <c r="E374" s="94">
        <v>0.5</v>
      </c>
      <c r="F374">
        <f t="shared" si="10"/>
        <v>0.5</v>
      </c>
      <c r="G374" s="74">
        <f t="shared" si="11"/>
        <v>0.3213748177277656</v>
      </c>
      <c r="K374" s="38"/>
    </row>
    <row r="375" spans="2:11" x14ac:dyDescent="0.35">
      <c r="B375" s="4"/>
      <c r="C375" s="4"/>
      <c r="D375" s="44"/>
      <c r="E375" s="94">
        <v>0.5</v>
      </c>
      <c r="F375">
        <f t="shared" si="10"/>
        <v>0.5</v>
      </c>
      <c r="G375" s="74">
        <f t="shared" si="11"/>
        <v>0.3213748177277656</v>
      </c>
      <c r="K375" s="38"/>
    </row>
    <row r="376" spans="2:11" x14ac:dyDescent="0.35">
      <c r="B376" s="4"/>
      <c r="C376" s="4"/>
      <c r="D376" s="44"/>
      <c r="E376" s="94">
        <v>0.54</v>
      </c>
      <c r="F376">
        <f t="shared" si="10"/>
        <v>0.54</v>
      </c>
      <c r="G376" s="74">
        <f t="shared" si="11"/>
        <v>0.34708480314598689</v>
      </c>
      <c r="K376" s="38"/>
    </row>
    <row r="377" spans="2:11" x14ac:dyDescent="0.35">
      <c r="B377" s="4"/>
      <c r="C377" s="4"/>
      <c r="D377" s="44"/>
      <c r="E377" s="94">
        <v>0.57999999999999996</v>
      </c>
      <c r="F377">
        <f t="shared" si="10"/>
        <v>0.57999999999999996</v>
      </c>
      <c r="G377" s="74">
        <f t="shared" si="11"/>
        <v>0.37279478856420806</v>
      </c>
      <c r="K377" s="38"/>
    </row>
    <row r="378" spans="2:11" x14ac:dyDescent="0.35">
      <c r="B378" s="4"/>
      <c r="C378" s="4"/>
      <c r="D378" s="44"/>
      <c r="E378" s="94">
        <v>0.54</v>
      </c>
      <c r="F378">
        <f t="shared" si="10"/>
        <v>0.54</v>
      </c>
      <c r="G378" s="74">
        <f t="shared" si="11"/>
        <v>0.34708480314598689</v>
      </c>
      <c r="K378" s="38"/>
    </row>
    <row r="379" spans="2:11" x14ac:dyDescent="0.35">
      <c r="B379" s="4"/>
      <c r="C379" s="4"/>
      <c r="D379" s="44"/>
      <c r="E379" s="94">
        <v>0.45</v>
      </c>
      <c r="F379">
        <f t="shared" si="10"/>
        <v>0.45</v>
      </c>
      <c r="G379" s="74">
        <f t="shared" si="11"/>
        <v>0.28923733595498907</v>
      </c>
      <c r="K379" s="38"/>
    </row>
    <row r="380" spans="2:11" x14ac:dyDescent="0.35">
      <c r="B380" s="4"/>
      <c r="C380" s="4"/>
      <c r="D380" s="44"/>
      <c r="E380" s="94">
        <v>0.37</v>
      </c>
      <c r="F380">
        <f t="shared" si="10"/>
        <v>0.37</v>
      </c>
      <c r="G380" s="74">
        <f t="shared" si="11"/>
        <v>0.23781736511854654</v>
      </c>
      <c r="K380" s="38"/>
    </row>
    <row r="381" spans="2:11" x14ac:dyDescent="0.35">
      <c r="B381" s="4"/>
      <c r="C381" s="4"/>
      <c r="D381" s="44"/>
      <c r="E381" s="94">
        <v>0.37</v>
      </c>
      <c r="F381">
        <f t="shared" si="10"/>
        <v>0.37</v>
      </c>
      <c r="G381" s="74">
        <f t="shared" si="11"/>
        <v>0.23781736511854654</v>
      </c>
      <c r="K381" s="38"/>
    </row>
    <row r="382" spans="2:11" x14ac:dyDescent="0.35">
      <c r="B382" s="4"/>
      <c r="C382" s="4"/>
      <c r="D382" s="44"/>
      <c r="E382" s="94">
        <v>0.37</v>
      </c>
      <c r="F382">
        <f t="shared" si="10"/>
        <v>0.37</v>
      </c>
      <c r="G382" s="74">
        <f t="shared" si="11"/>
        <v>0.23781736511854654</v>
      </c>
      <c r="K382" s="38"/>
    </row>
    <row r="383" spans="2:11" x14ac:dyDescent="0.35">
      <c r="B383" s="4"/>
      <c r="C383" s="4"/>
      <c r="D383" s="44"/>
      <c r="E383" s="94">
        <v>0.37</v>
      </c>
      <c r="F383">
        <f t="shared" ref="F383:F446" si="12">IF(E383&gt;0,E383,0)</f>
        <v>0.37</v>
      </c>
      <c r="G383" s="74">
        <f t="shared" si="11"/>
        <v>0.23781736511854654</v>
      </c>
      <c r="K383" s="38"/>
    </row>
    <row r="384" spans="2:11" x14ac:dyDescent="0.35">
      <c r="B384" s="4"/>
      <c r="C384" s="4"/>
      <c r="D384" s="44"/>
      <c r="E384" s="94">
        <v>0.37</v>
      </c>
      <c r="F384">
        <f t="shared" si="12"/>
        <v>0.37</v>
      </c>
      <c r="G384" s="74">
        <f t="shared" si="11"/>
        <v>0.23781736511854654</v>
      </c>
      <c r="K384" s="38"/>
    </row>
    <row r="385" spans="2:11" x14ac:dyDescent="0.35">
      <c r="B385" s="4"/>
      <c r="C385" s="4"/>
      <c r="D385" s="44"/>
      <c r="E385" s="94">
        <v>0.33</v>
      </c>
      <c r="F385">
        <f t="shared" si="12"/>
        <v>0.33</v>
      </c>
      <c r="G385" s="74">
        <f t="shared" si="11"/>
        <v>0.21210737970032531</v>
      </c>
      <c r="K385" s="38"/>
    </row>
    <row r="386" spans="2:11" x14ac:dyDescent="0.35">
      <c r="B386" s="4"/>
      <c r="C386" s="4"/>
      <c r="D386" s="44"/>
      <c r="E386" s="94">
        <v>0.24</v>
      </c>
      <c r="F386">
        <f t="shared" si="12"/>
        <v>0.24</v>
      </c>
      <c r="G386" s="74">
        <f t="shared" si="11"/>
        <v>0.1542599125093275</v>
      </c>
      <c r="K386" s="38"/>
    </row>
    <row r="387" spans="2:11" x14ac:dyDescent="0.35">
      <c r="B387" s="4"/>
      <c r="C387" s="4"/>
      <c r="D387" s="44"/>
      <c r="E387" s="94">
        <v>0.28000000000000003</v>
      </c>
      <c r="F387">
        <f t="shared" si="12"/>
        <v>0.28000000000000003</v>
      </c>
      <c r="G387" s="74">
        <f t="shared" si="11"/>
        <v>0.17996989792754875</v>
      </c>
      <c r="K387" s="38"/>
    </row>
    <row r="388" spans="2:11" x14ac:dyDescent="0.35">
      <c r="B388" s="4"/>
      <c r="C388" s="4"/>
      <c r="D388" s="44"/>
      <c r="E388" s="94">
        <v>0.24</v>
      </c>
      <c r="F388">
        <f t="shared" si="12"/>
        <v>0.24</v>
      </c>
      <c r="G388" s="74">
        <f t="shared" si="11"/>
        <v>0.1542599125093275</v>
      </c>
      <c r="K388" s="38"/>
    </row>
    <row r="389" spans="2:11" x14ac:dyDescent="0.35">
      <c r="B389" s="4"/>
      <c r="C389" s="4"/>
      <c r="D389" s="44"/>
      <c r="E389" s="94">
        <v>0.28000000000000003</v>
      </c>
      <c r="F389">
        <f t="shared" si="12"/>
        <v>0.28000000000000003</v>
      </c>
      <c r="G389" s="74">
        <f t="shared" si="11"/>
        <v>0.17996989792754875</v>
      </c>
      <c r="K389" s="38"/>
    </row>
    <row r="390" spans="2:11" x14ac:dyDescent="0.35">
      <c r="B390" s="4"/>
      <c r="C390" s="4"/>
      <c r="D390" s="44"/>
      <c r="E390" s="94">
        <v>0.28000000000000003</v>
      </c>
      <c r="F390">
        <f t="shared" si="12"/>
        <v>0.28000000000000003</v>
      </c>
      <c r="G390" s="74">
        <f t="shared" si="11"/>
        <v>0.17996989792754875</v>
      </c>
      <c r="K390" s="38"/>
    </row>
    <row r="391" spans="2:11" x14ac:dyDescent="0.35">
      <c r="B391" s="4"/>
      <c r="C391" s="4"/>
      <c r="D391" s="44"/>
      <c r="E391" s="94">
        <v>0.28000000000000003</v>
      </c>
      <c r="F391">
        <f t="shared" si="12"/>
        <v>0.28000000000000003</v>
      </c>
      <c r="G391" s="74">
        <f t="shared" si="11"/>
        <v>0.17996989792754875</v>
      </c>
      <c r="K391" s="38"/>
    </row>
    <row r="392" spans="2:11" x14ac:dyDescent="0.35">
      <c r="B392" s="4"/>
      <c r="C392" s="4"/>
      <c r="D392" s="44"/>
      <c r="E392" s="94">
        <v>0.33</v>
      </c>
      <c r="F392">
        <f t="shared" si="12"/>
        <v>0.33</v>
      </c>
      <c r="G392" s="74">
        <f t="shared" si="11"/>
        <v>0.21210737970032531</v>
      </c>
      <c r="K392" s="38"/>
    </row>
    <row r="393" spans="2:11" x14ac:dyDescent="0.35">
      <c r="B393" s="4"/>
      <c r="C393" s="4"/>
      <c r="D393" s="44"/>
      <c r="E393" s="94">
        <v>0.33</v>
      </c>
      <c r="F393">
        <f t="shared" si="12"/>
        <v>0.33</v>
      </c>
      <c r="G393" s="74">
        <f t="shared" si="11"/>
        <v>0.21210737970032531</v>
      </c>
      <c r="K393" s="38"/>
    </row>
    <row r="394" spans="2:11" x14ac:dyDescent="0.35">
      <c r="B394" s="4"/>
      <c r="C394" s="4"/>
      <c r="D394" s="44"/>
      <c r="E394" s="94">
        <v>0.24</v>
      </c>
      <c r="F394">
        <f t="shared" si="12"/>
        <v>0.24</v>
      </c>
      <c r="G394" s="74">
        <f t="shared" si="11"/>
        <v>0.1542599125093275</v>
      </c>
      <c r="K394" s="38"/>
    </row>
    <row r="395" spans="2:11" x14ac:dyDescent="0.35">
      <c r="B395" s="4"/>
      <c r="C395" s="4"/>
      <c r="D395" s="44"/>
      <c r="E395" s="94">
        <v>0.24</v>
      </c>
      <c r="F395">
        <f t="shared" si="12"/>
        <v>0.24</v>
      </c>
      <c r="G395" s="74">
        <f t="shared" si="11"/>
        <v>0.1542599125093275</v>
      </c>
      <c r="K395" s="38"/>
    </row>
    <row r="396" spans="2:11" x14ac:dyDescent="0.35">
      <c r="B396" s="4"/>
      <c r="C396" s="4"/>
      <c r="D396" s="44"/>
      <c r="E396" s="94">
        <v>0.16</v>
      </c>
      <c r="F396">
        <f t="shared" si="12"/>
        <v>0.16</v>
      </c>
      <c r="G396" s="74">
        <f t="shared" si="11"/>
        <v>0.102839941672885</v>
      </c>
      <c r="K396" s="38"/>
    </row>
    <row r="397" spans="2:11" x14ac:dyDescent="0.35">
      <c r="B397" s="4"/>
      <c r="C397" s="4"/>
      <c r="D397" s="44"/>
      <c r="E397" s="94">
        <v>0.16</v>
      </c>
      <c r="F397">
        <f t="shared" si="12"/>
        <v>0.16</v>
      </c>
      <c r="G397" s="74">
        <f t="shared" si="11"/>
        <v>0.102839941672885</v>
      </c>
      <c r="K397" s="38"/>
    </row>
    <row r="398" spans="2:11" x14ac:dyDescent="0.35">
      <c r="B398" s="4"/>
      <c r="C398" s="4"/>
      <c r="D398" s="44"/>
      <c r="E398" s="94">
        <v>0.24</v>
      </c>
      <c r="F398">
        <f t="shared" si="12"/>
        <v>0.24</v>
      </c>
      <c r="G398" s="74">
        <f t="shared" si="11"/>
        <v>0.1542599125093275</v>
      </c>
      <c r="K398" s="38"/>
    </row>
    <row r="399" spans="2:11" x14ac:dyDescent="0.35">
      <c r="B399" s="4"/>
      <c r="C399" s="4"/>
      <c r="D399" s="44"/>
      <c r="E399" s="94">
        <v>0.24</v>
      </c>
      <c r="F399">
        <f t="shared" si="12"/>
        <v>0.24</v>
      </c>
      <c r="G399" s="74">
        <f t="shared" si="11"/>
        <v>0.1542599125093275</v>
      </c>
      <c r="K399" s="38"/>
    </row>
    <row r="400" spans="2:11" x14ac:dyDescent="0.35">
      <c r="B400" s="4"/>
      <c r="C400" s="4"/>
      <c r="D400" s="44"/>
      <c r="E400" s="94">
        <v>0.28000000000000003</v>
      </c>
      <c r="F400">
        <f t="shared" si="12"/>
        <v>0.28000000000000003</v>
      </c>
      <c r="G400" s="74">
        <f t="shared" si="11"/>
        <v>0.17996989792754875</v>
      </c>
      <c r="K400" s="38"/>
    </row>
    <row r="401" spans="2:11" x14ac:dyDescent="0.35">
      <c r="B401" s="4"/>
      <c r="C401" s="4"/>
      <c r="D401" s="44"/>
      <c r="E401" s="94">
        <v>0.24</v>
      </c>
      <c r="F401">
        <f t="shared" si="12"/>
        <v>0.24</v>
      </c>
      <c r="G401" s="74">
        <f t="shared" si="11"/>
        <v>0.1542599125093275</v>
      </c>
      <c r="K401" s="38"/>
    </row>
    <row r="402" spans="2:11" x14ac:dyDescent="0.35">
      <c r="B402" s="4"/>
      <c r="C402" s="4"/>
      <c r="D402" s="44"/>
      <c r="E402" s="94">
        <v>0.11</v>
      </c>
      <c r="F402">
        <f t="shared" si="12"/>
        <v>0.11</v>
      </c>
      <c r="G402" s="74">
        <f t="shared" si="11"/>
        <v>7.0702459900108428E-2</v>
      </c>
      <c r="K402" s="38"/>
    </row>
    <row r="403" spans="2:11" x14ac:dyDescent="0.35">
      <c r="B403" s="4"/>
      <c r="C403" s="4"/>
      <c r="D403" s="44"/>
      <c r="E403" s="94">
        <v>0.11</v>
      </c>
      <c r="F403">
        <f t="shared" si="12"/>
        <v>0.11</v>
      </c>
      <c r="G403" s="74">
        <f t="shared" si="11"/>
        <v>7.0702459900108428E-2</v>
      </c>
      <c r="K403" s="38"/>
    </row>
    <row r="404" spans="2:11" x14ac:dyDescent="0.35">
      <c r="B404" s="4"/>
      <c r="C404" s="4"/>
      <c r="D404" s="44"/>
      <c r="E404" s="94">
        <v>0.24</v>
      </c>
      <c r="F404">
        <f t="shared" si="12"/>
        <v>0.24</v>
      </c>
      <c r="G404" s="74">
        <f t="shared" si="11"/>
        <v>0.1542599125093275</v>
      </c>
      <c r="K404" s="38"/>
    </row>
    <row r="405" spans="2:11" x14ac:dyDescent="0.35">
      <c r="B405" s="4"/>
      <c r="C405" s="4"/>
      <c r="D405" s="44"/>
      <c r="E405" s="94">
        <v>0.11</v>
      </c>
      <c r="F405">
        <f t="shared" si="12"/>
        <v>0.11</v>
      </c>
      <c r="G405" s="74">
        <f t="shared" si="11"/>
        <v>7.0702459900108428E-2</v>
      </c>
      <c r="K405" s="38"/>
    </row>
    <row r="406" spans="2:11" x14ac:dyDescent="0.35">
      <c r="B406" s="4"/>
      <c r="C406" s="4"/>
      <c r="D406" s="44"/>
      <c r="E406" s="94">
        <v>7.0000000000000007E-2</v>
      </c>
      <c r="F406">
        <f t="shared" si="12"/>
        <v>7.0000000000000007E-2</v>
      </c>
      <c r="G406" s="74">
        <f t="shared" si="11"/>
        <v>4.4992474481887187E-2</v>
      </c>
      <c r="K406" s="38"/>
    </row>
    <row r="407" spans="2:11" x14ac:dyDescent="0.35">
      <c r="B407" s="4"/>
      <c r="C407" s="4"/>
      <c r="D407" s="44"/>
      <c r="E407" s="94">
        <v>0.16</v>
      </c>
      <c r="F407">
        <f t="shared" si="12"/>
        <v>0.16</v>
      </c>
      <c r="G407" s="74">
        <f t="shared" si="11"/>
        <v>0.102839941672885</v>
      </c>
      <c r="K407" s="38"/>
    </row>
    <row r="408" spans="2:11" x14ac:dyDescent="0.35">
      <c r="B408" s="4"/>
      <c r="C408" s="4"/>
      <c r="D408" s="44"/>
      <c r="E408" s="94">
        <v>0.16</v>
      </c>
      <c r="F408">
        <f t="shared" si="12"/>
        <v>0.16</v>
      </c>
      <c r="G408" s="74">
        <f t="shared" si="11"/>
        <v>0.102839941672885</v>
      </c>
      <c r="K408" s="38"/>
    </row>
    <row r="409" spans="2:11" x14ac:dyDescent="0.35">
      <c r="B409" s="4"/>
      <c r="C409" s="4"/>
      <c r="D409" s="44"/>
      <c r="E409" s="94">
        <v>0.16</v>
      </c>
      <c r="F409">
        <f t="shared" si="12"/>
        <v>0.16</v>
      </c>
      <c r="G409" s="74">
        <f t="shared" si="11"/>
        <v>0.102839941672885</v>
      </c>
      <c r="K409" s="38"/>
    </row>
    <row r="410" spans="2:11" x14ac:dyDescent="0.35">
      <c r="B410" s="4"/>
      <c r="C410" s="4"/>
      <c r="D410" s="44"/>
      <c r="E410" s="94">
        <v>0.24</v>
      </c>
      <c r="F410">
        <f t="shared" si="12"/>
        <v>0.24</v>
      </c>
      <c r="G410" s="74">
        <f t="shared" si="11"/>
        <v>0.1542599125093275</v>
      </c>
      <c r="K410" s="38"/>
    </row>
    <row r="411" spans="2:11" x14ac:dyDescent="0.35">
      <c r="B411" s="4"/>
      <c r="C411" s="4"/>
      <c r="D411" s="44"/>
      <c r="E411" s="94">
        <v>0.11</v>
      </c>
      <c r="F411">
        <f t="shared" si="12"/>
        <v>0.11</v>
      </c>
      <c r="G411" s="74">
        <f t="shared" si="11"/>
        <v>7.0702459900108428E-2</v>
      </c>
      <c r="K411" s="38"/>
    </row>
    <row r="412" spans="2:11" x14ac:dyDescent="0.35">
      <c r="B412" s="4"/>
      <c r="C412" s="4"/>
      <c r="D412" s="44"/>
      <c r="E412" s="94">
        <v>0.11</v>
      </c>
      <c r="F412">
        <f t="shared" si="12"/>
        <v>0.11</v>
      </c>
      <c r="G412" s="74">
        <f t="shared" ref="G412:G475" si="13">F412*EXP($C$15*(C$16-25))</f>
        <v>7.0702459900108428E-2</v>
      </c>
      <c r="K412" s="38"/>
    </row>
    <row r="413" spans="2:11" x14ac:dyDescent="0.35">
      <c r="B413" s="4"/>
      <c r="C413" s="4"/>
      <c r="D413" s="44"/>
      <c r="E413" s="94">
        <v>7.0000000000000007E-2</v>
      </c>
      <c r="F413">
        <f t="shared" si="12"/>
        <v>7.0000000000000007E-2</v>
      </c>
      <c r="G413" s="74">
        <f t="shared" si="13"/>
        <v>4.4992474481887187E-2</v>
      </c>
      <c r="K413" s="38"/>
    </row>
    <row r="414" spans="2:11" x14ac:dyDescent="0.35">
      <c r="B414" s="4"/>
      <c r="C414" s="4"/>
      <c r="D414" s="44"/>
      <c r="E414" s="94">
        <v>0.11</v>
      </c>
      <c r="F414">
        <f t="shared" si="12"/>
        <v>0.11</v>
      </c>
      <c r="G414" s="74">
        <f t="shared" si="13"/>
        <v>7.0702459900108428E-2</v>
      </c>
      <c r="K414" s="38"/>
    </row>
    <row r="415" spans="2:11" x14ac:dyDescent="0.35">
      <c r="B415" s="4"/>
      <c r="C415" s="4"/>
      <c r="D415" s="44"/>
      <c r="E415" s="94">
        <v>0.11</v>
      </c>
      <c r="F415">
        <f t="shared" si="12"/>
        <v>0.11</v>
      </c>
      <c r="G415" s="74">
        <f t="shared" si="13"/>
        <v>7.0702459900108428E-2</v>
      </c>
      <c r="K415" s="38"/>
    </row>
    <row r="416" spans="2:11" x14ac:dyDescent="0.35">
      <c r="B416" s="4"/>
      <c r="C416" s="4"/>
      <c r="D416" s="44"/>
      <c r="E416" s="94">
        <v>7.0000000000000007E-2</v>
      </c>
      <c r="F416">
        <f t="shared" si="12"/>
        <v>7.0000000000000007E-2</v>
      </c>
      <c r="G416" s="74">
        <f t="shared" si="13"/>
        <v>4.4992474481887187E-2</v>
      </c>
      <c r="K416" s="38"/>
    </row>
    <row r="417" spans="2:11" x14ac:dyDescent="0.35">
      <c r="B417" s="4"/>
      <c r="C417" s="4"/>
      <c r="D417" s="44"/>
      <c r="E417" s="94">
        <v>0.03</v>
      </c>
      <c r="F417">
        <f t="shared" si="12"/>
        <v>0.03</v>
      </c>
      <c r="G417" s="74">
        <f t="shared" si="13"/>
        <v>1.9282489063665937E-2</v>
      </c>
      <c r="K417" s="38"/>
    </row>
    <row r="418" spans="2:11" x14ac:dyDescent="0.35">
      <c r="B418" s="4"/>
      <c r="C418" s="4"/>
      <c r="D418" s="44"/>
      <c r="E418" s="94">
        <v>7.0000000000000007E-2</v>
      </c>
      <c r="F418">
        <f t="shared" si="12"/>
        <v>7.0000000000000007E-2</v>
      </c>
      <c r="G418" s="74">
        <f t="shared" si="13"/>
        <v>4.4992474481887187E-2</v>
      </c>
      <c r="K418" s="38"/>
    </row>
    <row r="419" spans="2:11" x14ac:dyDescent="0.35">
      <c r="B419" s="4"/>
      <c r="C419" s="4"/>
      <c r="D419" s="44"/>
      <c r="E419" s="94">
        <v>0.11</v>
      </c>
      <c r="F419">
        <f t="shared" si="12"/>
        <v>0.11</v>
      </c>
      <c r="G419" s="74">
        <f t="shared" si="13"/>
        <v>7.0702459900108428E-2</v>
      </c>
      <c r="K419" s="38"/>
    </row>
    <row r="420" spans="2:11" x14ac:dyDescent="0.35">
      <c r="B420" s="4"/>
      <c r="C420" s="4"/>
      <c r="D420" s="44"/>
      <c r="E420" s="94">
        <v>7.0000000000000007E-2</v>
      </c>
      <c r="F420">
        <f t="shared" si="12"/>
        <v>7.0000000000000007E-2</v>
      </c>
      <c r="G420" s="74">
        <f t="shared" si="13"/>
        <v>4.4992474481887187E-2</v>
      </c>
      <c r="K420" s="38"/>
    </row>
    <row r="421" spans="2:11" x14ac:dyDescent="0.35">
      <c r="B421" s="4"/>
      <c r="C421" s="4"/>
      <c r="D421" s="44"/>
      <c r="E421" s="94">
        <v>0.11</v>
      </c>
      <c r="F421">
        <f t="shared" si="12"/>
        <v>0.11</v>
      </c>
      <c r="G421" s="74">
        <f t="shared" si="13"/>
        <v>7.0702459900108428E-2</v>
      </c>
      <c r="K421" s="38"/>
    </row>
    <row r="422" spans="2:11" x14ac:dyDescent="0.35">
      <c r="B422" s="4"/>
      <c r="C422" s="4"/>
      <c r="D422" s="44"/>
      <c r="E422" s="94">
        <v>0.03</v>
      </c>
      <c r="F422">
        <f t="shared" si="12"/>
        <v>0.03</v>
      </c>
      <c r="G422" s="74">
        <f t="shared" si="13"/>
        <v>1.9282489063665937E-2</v>
      </c>
      <c r="K422" s="38"/>
    </row>
    <row r="423" spans="2:11" x14ac:dyDescent="0.35">
      <c r="B423" s="4"/>
      <c r="C423" s="4"/>
      <c r="D423" s="44"/>
      <c r="E423" s="94">
        <v>0</v>
      </c>
      <c r="F423">
        <f t="shared" si="12"/>
        <v>0</v>
      </c>
      <c r="G423" s="74">
        <f t="shared" si="13"/>
        <v>0</v>
      </c>
      <c r="K423" s="38"/>
    </row>
    <row r="424" spans="2:11" x14ac:dyDescent="0.35">
      <c r="B424" s="4"/>
      <c r="C424" s="4"/>
      <c r="D424" s="44"/>
      <c r="E424" s="94">
        <v>0</v>
      </c>
      <c r="F424">
        <f t="shared" si="12"/>
        <v>0</v>
      </c>
      <c r="G424" s="74">
        <f t="shared" si="13"/>
        <v>0</v>
      </c>
      <c r="K424" s="38"/>
    </row>
    <row r="425" spans="2:11" x14ac:dyDescent="0.35">
      <c r="B425" s="4"/>
      <c r="C425" s="4"/>
      <c r="D425" s="44"/>
      <c r="E425" s="94">
        <v>7.0000000000000007E-2</v>
      </c>
      <c r="F425">
        <f t="shared" si="12"/>
        <v>7.0000000000000007E-2</v>
      </c>
      <c r="G425" s="74">
        <f t="shared" si="13"/>
        <v>4.4992474481887187E-2</v>
      </c>
      <c r="K425" s="38"/>
    </row>
    <row r="426" spans="2:11" x14ac:dyDescent="0.35">
      <c r="B426" s="4"/>
      <c r="C426" s="4"/>
      <c r="D426" s="44"/>
      <c r="E426" s="94">
        <v>0.03</v>
      </c>
      <c r="F426">
        <f t="shared" si="12"/>
        <v>0.03</v>
      </c>
      <c r="G426" s="74">
        <f t="shared" si="13"/>
        <v>1.9282489063665937E-2</v>
      </c>
      <c r="K426" s="38"/>
    </row>
    <row r="427" spans="2:11" x14ac:dyDescent="0.35">
      <c r="B427" s="4"/>
      <c r="C427" s="4"/>
      <c r="D427" s="44"/>
      <c r="E427" s="94">
        <v>7.0000000000000007E-2</v>
      </c>
      <c r="F427">
        <f t="shared" si="12"/>
        <v>7.0000000000000007E-2</v>
      </c>
      <c r="G427" s="74">
        <f t="shared" si="13"/>
        <v>4.4992474481887187E-2</v>
      </c>
      <c r="K427" s="38"/>
    </row>
    <row r="428" spans="2:11" x14ac:dyDescent="0.35">
      <c r="B428" s="4"/>
      <c r="C428" s="4"/>
      <c r="D428" s="44"/>
      <c r="E428" s="94">
        <v>0.03</v>
      </c>
      <c r="F428">
        <f t="shared" si="12"/>
        <v>0.03</v>
      </c>
      <c r="G428" s="74">
        <f t="shared" si="13"/>
        <v>1.9282489063665937E-2</v>
      </c>
      <c r="K428" s="38"/>
    </row>
    <row r="429" spans="2:11" x14ac:dyDescent="0.35">
      <c r="B429" s="4"/>
      <c r="C429" s="4"/>
      <c r="D429" s="44"/>
      <c r="E429" s="94">
        <v>7.0000000000000007E-2</v>
      </c>
      <c r="F429">
        <f t="shared" si="12"/>
        <v>7.0000000000000007E-2</v>
      </c>
      <c r="G429" s="74">
        <f t="shared" si="13"/>
        <v>4.4992474481887187E-2</v>
      </c>
      <c r="K429" s="38"/>
    </row>
    <row r="430" spans="2:11" x14ac:dyDescent="0.35">
      <c r="B430" s="4"/>
      <c r="C430" s="4"/>
      <c r="D430" s="44"/>
      <c r="E430" s="94">
        <v>0</v>
      </c>
      <c r="F430">
        <f t="shared" si="12"/>
        <v>0</v>
      </c>
      <c r="G430" s="74">
        <f t="shared" si="13"/>
        <v>0</v>
      </c>
      <c r="K430" s="38"/>
    </row>
    <row r="431" spans="2:11" x14ac:dyDescent="0.35">
      <c r="B431" s="4"/>
      <c r="C431" s="4"/>
      <c r="D431" s="44"/>
      <c r="E431" s="94">
        <v>0.03</v>
      </c>
      <c r="F431">
        <f t="shared" si="12"/>
        <v>0.03</v>
      </c>
      <c r="G431" s="74">
        <f t="shared" si="13"/>
        <v>1.9282489063665937E-2</v>
      </c>
      <c r="K431" s="38"/>
    </row>
    <row r="432" spans="2:11" x14ac:dyDescent="0.35">
      <c r="B432" s="4"/>
      <c r="C432" s="4"/>
      <c r="D432" s="44"/>
      <c r="E432" s="94">
        <v>0</v>
      </c>
      <c r="F432">
        <f t="shared" si="12"/>
        <v>0</v>
      </c>
      <c r="G432" s="74">
        <f t="shared" si="13"/>
        <v>0</v>
      </c>
      <c r="K432" s="38"/>
    </row>
    <row r="433" spans="2:11" x14ac:dyDescent="0.35">
      <c r="B433" s="4"/>
      <c r="C433" s="4"/>
      <c r="D433" s="44"/>
      <c r="E433" s="94">
        <v>0.03</v>
      </c>
      <c r="F433">
        <f t="shared" si="12"/>
        <v>0.03</v>
      </c>
      <c r="G433" s="74">
        <f t="shared" si="13"/>
        <v>1.9282489063665937E-2</v>
      </c>
      <c r="K433" s="38"/>
    </row>
    <row r="434" spans="2:11" x14ac:dyDescent="0.35">
      <c r="B434" s="4"/>
      <c r="C434" s="4"/>
      <c r="D434" s="44"/>
      <c r="E434" s="94">
        <v>0</v>
      </c>
      <c r="F434">
        <f t="shared" si="12"/>
        <v>0</v>
      </c>
      <c r="G434" s="74">
        <f t="shared" si="13"/>
        <v>0</v>
      </c>
      <c r="K434" s="38"/>
    </row>
    <row r="435" spans="2:11" x14ac:dyDescent="0.35">
      <c r="B435" s="4"/>
      <c r="C435" s="4"/>
      <c r="D435" s="44"/>
      <c r="E435" s="94">
        <v>7.0000000000000007E-2</v>
      </c>
      <c r="F435">
        <f t="shared" si="12"/>
        <v>7.0000000000000007E-2</v>
      </c>
      <c r="G435" s="74">
        <f t="shared" si="13"/>
        <v>4.4992474481887187E-2</v>
      </c>
      <c r="K435" s="38"/>
    </row>
    <row r="436" spans="2:11" x14ac:dyDescent="0.35">
      <c r="B436" s="4"/>
      <c r="C436" s="4"/>
      <c r="D436" s="44"/>
      <c r="E436" s="94">
        <v>0</v>
      </c>
      <c r="F436">
        <f t="shared" si="12"/>
        <v>0</v>
      </c>
      <c r="G436" s="74">
        <f t="shared" si="13"/>
        <v>0</v>
      </c>
      <c r="K436" s="38"/>
    </row>
    <row r="437" spans="2:11" x14ac:dyDescent="0.35">
      <c r="B437" s="4"/>
      <c r="C437" s="4"/>
      <c r="D437" s="44"/>
      <c r="E437" s="94">
        <v>0</v>
      </c>
      <c r="F437">
        <f t="shared" si="12"/>
        <v>0</v>
      </c>
      <c r="G437" s="74">
        <f t="shared" si="13"/>
        <v>0</v>
      </c>
      <c r="K437" s="38"/>
    </row>
    <row r="438" spans="2:11" x14ac:dyDescent="0.35">
      <c r="B438" s="4"/>
      <c r="C438" s="4"/>
      <c r="D438" s="44"/>
      <c r="E438" s="94">
        <v>0.03</v>
      </c>
      <c r="F438">
        <f t="shared" si="12"/>
        <v>0.03</v>
      </c>
      <c r="G438" s="74">
        <f t="shared" si="13"/>
        <v>1.9282489063665937E-2</v>
      </c>
      <c r="K438" s="38"/>
    </row>
    <row r="439" spans="2:11" x14ac:dyDescent="0.35">
      <c r="B439" s="4"/>
      <c r="C439" s="4"/>
      <c r="D439" s="44"/>
      <c r="E439" s="94">
        <v>-0.09</v>
      </c>
      <c r="F439">
        <f t="shared" si="12"/>
        <v>0</v>
      </c>
      <c r="G439" s="74">
        <f t="shared" si="13"/>
        <v>0</v>
      </c>
      <c r="K439" s="38"/>
    </row>
    <row r="440" spans="2:11" x14ac:dyDescent="0.35">
      <c r="B440" s="4"/>
      <c r="C440" s="4"/>
      <c r="D440" s="44"/>
      <c r="E440" s="94">
        <v>0</v>
      </c>
      <c r="F440">
        <f t="shared" si="12"/>
        <v>0</v>
      </c>
      <c r="G440" s="74">
        <f t="shared" si="13"/>
        <v>0</v>
      </c>
      <c r="K440" s="38"/>
    </row>
    <row r="441" spans="2:11" x14ac:dyDescent="0.35">
      <c r="B441" s="4"/>
      <c r="C441" s="4"/>
      <c r="D441" s="44"/>
      <c r="E441" s="94">
        <v>0</v>
      </c>
      <c r="F441">
        <f t="shared" si="12"/>
        <v>0</v>
      </c>
      <c r="G441" s="74">
        <f t="shared" si="13"/>
        <v>0</v>
      </c>
      <c r="K441" s="38"/>
    </row>
    <row r="442" spans="2:11" x14ac:dyDescent="0.35">
      <c r="B442" s="4"/>
      <c r="C442" s="4"/>
      <c r="D442" s="44"/>
      <c r="E442" s="94">
        <v>7.0000000000000007E-2</v>
      </c>
      <c r="F442">
        <f t="shared" si="12"/>
        <v>7.0000000000000007E-2</v>
      </c>
      <c r="G442" s="74">
        <f t="shared" si="13"/>
        <v>4.4992474481887187E-2</v>
      </c>
      <c r="K442" s="38"/>
    </row>
    <row r="443" spans="2:11" x14ac:dyDescent="0.35">
      <c r="B443" s="4"/>
      <c r="C443" s="4"/>
      <c r="D443" s="44"/>
      <c r="E443" s="94">
        <v>0</v>
      </c>
      <c r="F443">
        <f t="shared" si="12"/>
        <v>0</v>
      </c>
      <c r="G443" s="74">
        <f t="shared" si="13"/>
        <v>0</v>
      </c>
      <c r="K443" s="38"/>
    </row>
    <row r="444" spans="2:11" x14ac:dyDescent="0.35">
      <c r="B444" s="4"/>
      <c r="C444" s="4"/>
      <c r="D444" s="44"/>
      <c r="E444" s="94">
        <v>0</v>
      </c>
      <c r="F444">
        <f t="shared" si="12"/>
        <v>0</v>
      </c>
      <c r="G444" s="74">
        <f t="shared" si="13"/>
        <v>0</v>
      </c>
      <c r="K444" s="38"/>
    </row>
    <row r="445" spans="2:11" x14ac:dyDescent="0.35">
      <c r="B445" s="4"/>
      <c r="C445" s="4"/>
      <c r="D445" s="44"/>
      <c r="E445" s="94">
        <v>0</v>
      </c>
      <c r="F445">
        <f t="shared" si="12"/>
        <v>0</v>
      </c>
      <c r="G445" s="74">
        <f t="shared" si="13"/>
        <v>0</v>
      </c>
      <c r="K445" s="38"/>
    </row>
    <row r="446" spans="2:11" x14ac:dyDescent="0.35">
      <c r="B446" s="4"/>
      <c r="C446" s="4"/>
      <c r="D446" s="44"/>
      <c r="E446" s="94">
        <v>0</v>
      </c>
      <c r="F446">
        <f t="shared" si="12"/>
        <v>0</v>
      </c>
      <c r="G446" s="74">
        <f t="shared" si="13"/>
        <v>0</v>
      </c>
      <c r="K446" s="38"/>
    </row>
    <row r="447" spans="2:11" x14ac:dyDescent="0.35">
      <c r="B447" s="4"/>
      <c r="C447" s="4"/>
      <c r="D447" s="44"/>
      <c r="E447" s="94">
        <v>-0.09</v>
      </c>
      <c r="F447">
        <f t="shared" ref="F447:F510" si="14">IF(E447&gt;0,E447,0)</f>
        <v>0</v>
      </c>
      <c r="G447" s="74">
        <f t="shared" si="13"/>
        <v>0</v>
      </c>
      <c r="K447" s="38"/>
    </row>
    <row r="448" spans="2:11" x14ac:dyDescent="0.35">
      <c r="B448" s="4"/>
      <c r="C448" s="4"/>
      <c r="D448" s="44"/>
      <c r="E448" s="94">
        <v>-0.09</v>
      </c>
      <c r="F448">
        <f t="shared" si="14"/>
        <v>0</v>
      </c>
      <c r="G448" s="74">
        <f t="shared" si="13"/>
        <v>0</v>
      </c>
      <c r="K448" s="38"/>
    </row>
    <row r="449" spans="2:11" x14ac:dyDescent="0.35">
      <c r="B449" s="4"/>
      <c r="C449" s="4"/>
      <c r="D449" s="44"/>
      <c r="E449" s="94">
        <v>0</v>
      </c>
      <c r="F449">
        <f t="shared" si="14"/>
        <v>0</v>
      </c>
      <c r="G449" s="74">
        <f t="shared" si="13"/>
        <v>0</v>
      </c>
      <c r="K449" s="38"/>
    </row>
    <row r="450" spans="2:11" x14ac:dyDescent="0.35">
      <c r="B450" s="4"/>
      <c r="C450" s="4"/>
      <c r="D450" s="44"/>
      <c r="E450" s="94">
        <v>0</v>
      </c>
      <c r="F450">
        <f t="shared" si="14"/>
        <v>0</v>
      </c>
      <c r="G450" s="74">
        <f t="shared" si="13"/>
        <v>0</v>
      </c>
      <c r="K450" s="38"/>
    </row>
    <row r="451" spans="2:11" x14ac:dyDescent="0.35">
      <c r="B451" s="4"/>
      <c r="C451" s="4"/>
      <c r="D451" s="44"/>
      <c r="E451" s="94">
        <v>0</v>
      </c>
      <c r="F451">
        <f t="shared" si="14"/>
        <v>0</v>
      </c>
      <c r="G451" s="74">
        <f t="shared" si="13"/>
        <v>0</v>
      </c>
      <c r="K451" s="38"/>
    </row>
    <row r="452" spans="2:11" x14ac:dyDescent="0.35">
      <c r="B452" s="4"/>
      <c r="C452" s="4"/>
      <c r="D452" s="44"/>
      <c r="E452" s="94">
        <v>-0.09</v>
      </c>
      <c r="F452">
        <f t="shared" si="14"/>
        <v>0</v>
      </c>
      <c r="G452" s="74">
        <f t="shared" si="13"/>
        <v>0</v>
      </c>
      <c r="K452" s="38"/>
    </row>
    <row r="453" spans="2:11" x14ac:dyDescent="0.35">
      <c r="B453" s="4"/>
      <c r="C453" s="4"/>
      <c r="D453" s="44"/>
      <c r="E453" s="94">
        <v>-0.09</v>
      </c>
      <c r="F453">
        <f t="shared" si="14"/>
        <v>0</v>
      </c>
      <c r="G453" s="74">
        <f t="shared" si="13"/>
        <v>0</v>
      </c>
      <c r="K453" s="38"/>
    </row>
    <row r="454" spans="2:11" x14ac:dyDescent="0.35">
      <c r="B454" s="4"/>
      <c r="C454" s="4"/>
      <c r="D454" s="44"/>
      <c r="E454" s="94">
        <v>0</v>
      </c>
      <c r="F454">
        <f t="shared" si="14"/>
        <v>0</v>
      </c>
      <c r="G454" s="74">
        <f t="shared" si="13"/>
        <v>0</v>
      </c>
      <c r="K454" s="38"/>
    </row>
    <row r="455" spans="2:11" x14ac:dyDescent="0.35">
      <c r="B455" s="4"/>
      <c r="C455" s="4"/>
      <c r="D455" s="44"/>
      <c r="E455" s="94">
        <v>0</v>
      </c>
      <c r="F455">
        <f t="shared" si="14"/>
        <v>0</v>
      </c>
      <c r="G455" s="74">
        <f t="shared" si="13"/>
        <v>0</v>
      </c>
      <c r="K455" s="38"/>
    </row>
    <row r="456" spans="2:11" x14ac:dyDescent="0.35">
      <c r="B456" s="4"/>
      <c r="C456" s="4"/>
      <c r="D456" s="44"/>
      <c r="E456" s="94">
        <v>0</v>
      </c>
      <c r="F456">
        <f t="shared" si="14"/>
        <v>0</v>
      </c>
      <c r="G456" s="74">
        <f t="shared" si="13"/>
        <v>0</v>
      </c>
      <c r="K456" s="38"/>
    </row>
    <row r="457" spans="2:11" x14ac:dyDescent="0.35">
      <c r="B457" s="4"/>
      <c r="C457" s="4"/>
      <c r="D457" s="44"/>
      <c r="E457" s="94">
        <v>-0.09</v>
      </c>
      <c r="F457">
        <f t="shared" si="14"/>
        <v>0</v>
      </c>
      <c r="G457" s="74">
        <f t="shared" si="13"/>
        <v>0</v>
      </c>
      <c r="K457" s="38"/>
    </row>
    <row r="458" spans="2:11" x14ac:dyDescent="0.35">
      <c r="B458" s="4"/>
      <c r="C458" s="4"/>
      <c r="D458" s="44"/>
      <c r="E458" s="94">
        <v>-0.09</v>
      </c>
      <c r="F458">
        <f t="shared" si="14"/>
        <v>0</v>
      </c>
      <c r="G458" s="74">
        <f t="shared" si="13"/>
        <v>0</v>
      </c>
      <c r="K458" s="38"/>
    </row>
    <row r="459" spans="2:11" x14ac:dyDescent="0.35">
      <c r="B459" s="4"/>
      <c r="C459" s="4"/>
      <c r="D459" s="44"/>
      <c r="E459" s="94">
        <v>0</v>
      </c>
      <c r="F459">
        <f t="shared" si="14"/>
        <v>0</v>
      </c>
      <c r="G459" s="74">
        <f t="shared" si="13"/>
        <v>0</v>
      </c>
      <c r="K459" s="38"/>
    </row>
    <row r="460" spans="2:11" x14ac:dyDescent="0.35">
      <c r="B460" s="4"/>
      <c r="C460" s="4"/>
      <c r="D460" s="44"/>
      <c r="E460" s="94">
        <v>-0.09</v>
      </c>
      <c r="F460">
        <f t="shared" si="14"/>
        <v>0</v>
      </c>
      <c r="G460" s="74">
        <f t="shared" si="13"/>
        <v>0</v>
      </c>
      <c r="K460" s="38"/>
    </row>
    <row r="461" spans="2:11" x14ac:dyDescent="0.35">
      <c r="B461" s="4"/>
      <c r="C461" s="4"/>
      <c r="D461" s="44"/>
      <c r="E461" s="94">
        <v>-0.09</v>
      </c>
      <c r="F461">
        <f t="shared" si="14"/>
        <v>0</v>
      </c>
      <c r="G461" s="74">
        <f t="shared" si="13"/>
        <v>0</v>
      </c>
      <c r="K461" s="38"/>
    </row>
    <row r="462" spans="2:11" x14ac:dyDescent="0.35">
      <c r="B462" s="4"/>
      <c r="C462" s="4"/>
      <c r="D462" s="44"/>
      <c r="E462" s="94">
        <v>-0.09</v>
      </c>
      <c r="F462">
        <f t="shared" si="14"/>
        <v>0</v>
      </c>
      <c r="G462" s="74">
        <f t="shared" si="13"/>
        <v>0</v>
      </c>
      <c r="K462" s="38"/>
    </row>
    <row r="463" spans="2:11" x14ac:dyDescent="0.35">
      <c r="B463" s="4"/>
      <c r="C463" s="4"/>
      <c r="D463" s="44"/>
      <c r="E463" s="94">
        <v>-0.09</v>
      </c>
      <c r="F463">
        <f t="shared" si="14"/>
        <v>0</v>
      </c>
      <c r="G463" s="74">
        <f t="shared" si="13"/>
        <v>0</v>
      </c>
      <c r="K463" s="38"/>
    </row>
    <row r="464" spans="2:11" x14ac:dyDescent="0.35">
      <c r="B464" s="4"/>
      <c r="C464" s="4"/>
      <c r="D464" s="44"/>
      <c r="E464" s="94">
        <v>-0.09</v>
      </c>
      <c r="F464">
        <f t="shared" si="14"/>
        <v>0</v>
      </c>
      <c r="G464" s="74">
        <f t="shared" si="13"/>
        <v>0</v>
      </c>
      <c r="K464" s="38"/>
    </row>
    <row r="465" spans="2:11" x14ac:dyDescent="0.35">
      <c r="B465" s="4"/>
      <c r="C465" s="4"/>
      <c r="D465" s="44"/>
      <c r="E465" s="94">
        <v>-0.09</v>
      </c>
      <c r="F465">
        <f t="shared" si="14"/>
        <v>0</v>
      </c>
      <c r="G465" s="74">
        <f t="shared" si="13"/>
        <v>0</v>
      </c>
      <c r="K465" s="38"/>
    </row>
    <row r="466" spans="2:11" x14ac:dyDescent="0.35">
      <c r="B466" s="4"/>
      <c r="C466" s="4"/>
      <c r="D466" s="44"/>
      <c r="E466" s="94">
        <v>-0.09</v>
      </c>
      <c r="F466">
        <f t="shared" si="14"/>
        <v>0</v>
      </c>
      <c r="G466" s="74">
        <f t="shared" si="13"/>
        <v>0</v>
      </c>
      <c r="K466" s="38"/>
    </row>
    <row r="467" spans="2:11" x14ac:dyDescent="0.35">
      <c r="B467" s="4"/>
      <c r="C467" s="4"/>
      <c r="D467" s="44"/>
      <c r="E467" s="94">
        <v>-0.09</v>
      </c>
      <c r="F467">
        <f t="shared" si="14"/>
        <v>0</v>
      </c>
      <c r="G467" s="74">
        <f t="shared" si="13"/>
        <v>0</v>
      </c>
      <c r="K467" s="38"/>
    </row>
    <row r="468" spans="2:11" x14ac:dyDescent="0.35">
      <c r="B468" s="4"/>
      <c r="C468" s="4"/>
      <c r="D468" s="44"/>
      <c r="E468" s="94">
        <v>-0.09</v>
      </c>
      <c r="F468">
        <f t="shared" si="14"/>
        <v>0</v>
      </c>
      <c r="G468" s="74">
        <f t="shared" si="13"/>
        <v>0</v>
      </c>
      <c r="K468" s="38"/>
    </row>
    <row r="469" spans="2:11" x14ac:dyDescent="0.35">
      <c r="B469" s="4"/>
      <c r="C469" s="4"/>
      <c r="D469" s="44"/>
      <c r="E469" s="94">
        <v>-0.09</v>
      </c>
      <c r="F469">
        <f t="shared" si="14"/>
        <v>0</v>
      </c>
      <c r="G469" s="74">
        <f t="shared" si="13"/>
        <v>0</v>
      </c>
      <c r="K469" s="38"/>
    </row>
    <row r="470" spans="2:11" x14ac:dyDescent="0.35">
      <c r="B470" s="4"/>
      <c r="C470" s="4"/>
      <c r="D470" s="44"/>
      <c r="E470" s="94">
        <v>-0.09</v>
      </c>
      <c r="F470">
        <f t="shared" si="14"/>
        <v>0</v>
      </c>
      <c r="G470" s="74">
        <f t="shared" si="13"/>
        <v>0</v>
      </c>
      <c r="K470" s="38"/>
    </row>
    <row r="471" spans="2:11" x14ac:dyDescent="0.35">
      <c r="B471" s="4"/>
      <c r="C471" s="4"/>
      <c r="D471" s="44"/>
      <c r="E471" s="94">
        <v>-0.09</v>
      </c>
      <c r="F471">
        <f t="shared" si="14"/>
        <v>0</v>
      </c>
      <c r="G471" s="74">
        <f t="shared" si="13"/>
        <v>0</v>
      </c>
      <c r="K471" s="38"/>
    </row>
    <row r="472" spans="2:11" x14ac:dyDescent="0.35">
      <c r="B472" s="4"/>
      <c r="C472" s="4"/>
      <c r="D472" s="44"/>
      <c r="E472" s="94">
        <v>-0.09</v>
      </c>
      <c r="F472">
        <f t="shared" si="14"/>
        <v>0</v>
      </c>
      <c r="G472" s="74">
        <f t="shared" si="13"/>
        <v>0</v>
      </c>
      <c r="K472" s="38"/>
    </row>
    <row r="473" spans="2:11" x14ac:dyDescent="0.35">
      <c r="B473" s="4"/>
      <c r="C473" s="4"/>
      <c r="D473" s="44"/>
      <c r="E473" s="94">
        <v>-0.09</v>
      </c>
      <c r="F473">
        <f t="shared" si="14"/>
        <v>0</v>
      </c>
      <c r="G473" s="74">
        <f t="shared" si="13"/>
        <v>0</v>
      </c>
      <c r="K473" s="38"/>
    </row>
    <row r="474" spans="2:11" x14ac:dyDescent="0.35">
      <c r="B474" s="4"/>
      <c r="C474" s="4"/>
      <c r="D474" s="44"/>
      <c r="E474" s="94">
        <v>-0.09</v>
      </c>
      <c r="F474">
        <f t="shared" si="14"/>
        <v>0</v>
      </c>
      <c r="G474" s="74">
        <f t="shared" si="13"/>
        <v>0</v>
      </c>
      <c r="K474" s="38"/>
    </row>
    <row r="475" spans="2:11" x14ac:dyDescent="0.35">
      <c r="B475" s="4"/>
      <c r="C475" s="4"/>
      <c r="D475" s="44"/>
      <c r="E475" s="94">
        <v>-0.09</v>
      </c>
      <c r="F475">
        <f t="shared" si="14"/>
        <v>0</v>
      </c>
      <c r="G475" s="74">
        <f t="shared" si="13"/>
        <v>0</v>
      </c>
      <c r="K475" s="38"/>
    </row>
    <row r="476" spans="2:11" x14ac:dyDescent="0.35">
      <c r="B476" s="4"/>
      <c r="C476" s="4"/>
      <c r="D476" s="44"/>
      <c r="E476" s="94">
        <v>-0.09</v>
      </c>
      <c r="F476">
        <f t="shared" si="14"/>
        <v>0</v>
      </c>
      <c r="G476" s="74">
        <f t="shared" ref="G476:G539" si="15">F476*EXP($C$15*(C$16-25))</f>
        <v>0</v>
      </c>
      <c r="K476" s="38"/>
    </row>
    <row r="477" spans="2:11" x14ac:dyDescent="0.35">
      <c r="B477" s="4"/>
      <c r="C477" s="4"/>
      <c r="D477" s="44"/>
      <c r="E477" s="94">
        <v>-0.13</v>
      </c>
      <c r="F477">
        <f t="shared" si="14"/>
        <v>0</v>
      </c>
      <c r="G477" s="74">
        <f t="shared" si="15"/>
        <v>0</v>
      </c>
      <c r="K477" s="38"/>
    </row>
    <row r="478" spans="2:11" x14ac:dyDescent="0.35">
      <c r="B478" s="4"/>
      <c r="C478" s="4"/>
      <c r="D478" s="44"/>
      <c r="E478" s="94">
        <v>-0.09</v>
      </c>
      <c r="F478">
        <f t="shared" si="14"/>
        <v>0</v>
      </c>
      <c r="G478" s="74">
        <f t="shared" si="15"/>
        <v>0</v>
      </c>
      <c r="K478" s="38"/>
    </row>
    <row r="479" spans="2:11" x14ac:dyDescent="0.35">
      <c r="B479" s="4"/>
      <c r="C479" s="4"/>
      <c r="D479" s="44"/>
      <c r="E479" s="94">
        <v>7.0000000000000007E-2</v>
      </c>
      <c r="F479">
        <f t="shared" si="14"/>
        <v>7.0000000000000007E-2</v>
      </c>
      <c r="G479" s="74">
        <f t="shared" si="15"/>
        <v>4.4992474481887187E-2</v>
      </c>
      <c r="K479" s="38"/>
    </row>
    <row r="480" spans="2:11" x14ac:dyDescent="0.35">
      <c r="B480" s="4"/>
      <c r="C480" s="4"/>
      <c r="D480" s="44"/>
      <c r="E480" s="94">
        <v>-0.09</v>
      </c>
      <c r="F480">
        <f t="shared" si="14"/>
        <v>0</v>
      </c>
      <c r="G480" s="74">
        <f t="shared" si="15"/>
        <v>0</v>
      </c>
      <c r="K480" s="38"/>
    </row>
    <row r="481" spans="2:11" x14ac:dyDescent="0.35">
      <c r="B481" s="4"/>
      <c r="C481" s="4"/>
      <c r="D481" s="44"/>
      <c r="E481" s="94">
        <v>-0.09</v>
      </c>
      <c r="F481">
        <f t="shared" si="14"/>
        <v>0</v>
      </c>
      <c r="G481" s="74">
        <f t="shared" si="15"/>
        <v>0</v>
      </c>
      <c r="K481" s="38"/>
    </row>
    <row r="482" spans="2:11" x14ac:dyDescent="0.35">
      <c r="B482" s="4"/>
      <c r="C482" s="4"/>
      <c r="D482" s="44"/>
      <c r="E482" s="94">
        <v>-0.13</v>
      </c>
      <c r="F482">
        <f t="shared" si="14"/>
        <v>0</v>
      </c>
      <c r="G482" s="74">
        <f t="shared" si="15"/>
        <v>0</v>
      </c>
      <c r="K482" s="38"/>
    </row>
    <row r="483" spans="2:11" x14ac:dyDescent="0.35">
      <c r="B483" s="4"/>
      <c r="C483" s="4"/>
      <c r="D483" s="44"/>
      <c r="E483" s="94">
        <v>-0.09</v>
      </c>
      <c r="F483">
        <f t="shared" si="14"/>
        <v>0</v>
      </c>
      <c r="G483" s="74">
        <f t="shared" si="15"/>
        <v>0</v>
      </c>
      <c r="K483" s="38"/>
    </row>
    <row r="484" spans="2:11" x14ac:dyDescent="0.35">
      <c r="B484" s="4"/>
      <c r="C484" s="4"/>
      <c r="D484" s="44"/>
      <c r="E484" s="94">
        <v>-0.09</v>
      </c>
      <c r="F484">
        <f t="shared" si="14"/>
        <v>0</v>
      </c>
      <c r="G484" s="74">
        <f t="shared" si="15"/>
        <v>0</v>
      </c>
      <c r="K484" s="38"/>
    </row>
    <row r="485" spans="2:11" x14ac:dyDescent="0.35">
      <c r="B485" s="4"/>
      <c r="C485" s="4"/>
      <c r="D485" s="44"/>
      <c r="E485" s="94">
        <v>-0.13</v>
      </c>
      <c r="F485">
        <f t="shared" si="14"/>
        <v>0</v>
      </c>
      <c r="G485" s="74">
        <f t="shared" si="15"/>
        <v>0</v>
      </c>
      <c r="K485" s="38"/>
    </row>
    <row r="486" spans="2:11" x14ac:dyDescent="0.35">
      <c r="B486" s="4"/>
      <c r="C486" s="4"/>
      <c r="D486" s="44"/>
      <c r="E486" s="94">
        <v>-0.13</v>
      </c>
      <c r="F486">
        <f t="shared" si="14"/>
        <v>0</v>
      </c>
      <c r="G486" s="74">
        <f t="shared" si="15"/>
        <v>0</v>
      </c>
      <c r="K486" s="38"/>
    </row>
    <row r="487" spans="2:11" x14ac:dyDescent="0.35">
      <c r="B487" s="4"/>
      <c r="C487" s="4"/>
      <c r="D487" s="44"/>
      <c r="E487" s="94">
        <v>-0.09</v>
      </c>
      <c r="F487">
        <f t="shared" si="14"/>
        <v>0</v>
      </c>
      <c r="G487" s="74">
        <f t="shared" si="15"/>
        <v>0</v>
      </c>
      <c r="K487" s="38"/>
    </row>
    <row r="488" spans="2:11" x14ac:dyDescent="0.35">
      <c r="B488" s="4"/>
      <c r="C488" s="4"/>
      <c r="D488" s="44"/>
      <c r="E488" s="94">
        <v>-0.13</v>
      </c>
      <c r="F488">
        <f t="shared" si="14"/>
        <v>0</v>
      </c>
      <c r="G488" s="74">
        <f t="shared" si="15"/>
        <v>0</v>
      </c>
      <c r="K488" s="38"/>
    </row>
    <row r="489" spans="2:11" x14ac:dyDescent="0.35">
      <c r="B489" s="4"/>
      <c r="C489" s="4"/>
      <c r="D489" s="44"/>
      <c r="E489" s="94">
        <v>-0.09</v>
      </c>
      <c r="F489">
        <f t="shared" si="14"/>
        <v>0</v>
      </c>
      <c r="G489" s="74">
        <f t="shared" si="15"/>
        <v>0</v>
      </c>
      <c r="K489" s="38"/>
    </row>
    <row r="490" spans="2:11" x14ac:dyDescent="0.35">
      <c r="B490" s="4"/>
      <c r="C490" s="4"/>
      <c r="D490" s="44"/>
      <c r="E490" s="94">
        <v>-0.13</v>
      </c>
      <c r="F490">
        <f t="shared" si="14"/>
        <v>0</v>
      </c>
      <c r="G490" s="74">
        <f t="shared" si="15"/>
        <v>0</v>
      </c>
      <c r="K490" s="38"/>
    </row>
    <row r="491" spans="2:11" x14ac:dyDescent="0.35">
      <c r="B491" s="4"/>
      <c r="C491" s="4"/>
      <c r="D491" s="44"/>
      <c r="E491" s="94">
        <v>-0.09</v>
      </c>
      <c r="F491">
        <f t="shared" si="14"/>
        <v>0</v>
      </c>
      <c r="G491" s="74">
        <f t="shared" si="15"/>
        <v>0</v>
      </c>
      <c r="K491" s="38"/>
    </row>
    <row r="492" spans="2:11" x14ac:dyDescent="0.35">
      <c r="B492" s="4"/>
      <c r="C492" s="4"/>
      <c r="D492" s="44"/>
      <c r="E492" s="94">
        <v>-0.13</v>
      </c>
      <c r="F492">
        <f t="shared" si="14"/>
        <v>0</v>
      </c>
      <c r="G492" s="74">
        <f t="shared" si="15"/>
        <v>0</v>
      </c>
      <c r="K492" s="38"/>
    </row>
    <row r="493" spans="2:11" x14ac:dyDescent="0.35">
      <c r="B493" s="4"/>
      <c r="C493" s="4"/>
      <c r="D493" s="44"/>
      <c r="E493" s="94">
        <v>-0.13</v>
      </c>
      <c r="F493">
        <f t="shared" si="14"/>
        <v>0</v>
      </c>
      <c r="G493" s="74">
        <f t="shared" si="15"/>
        <v>0</v>
      </c>
      <c r="K493" s="38"/>
    </row>
    <row r="494" spans="2:11" x14ac:dyDescent="0.35">
      <c r="B494" s="4"/>
      <c r="C494" s="4"/>
      <c r="D494" s="44"/>
      <c r="E494" s="94">
        <v>-0.13</v>
      </c>
      <c r="F494">
        <f t="shared" si="14"/>
        <v>0</v>
      </c>
      <c r="G494" s="74">
        <f t="shared" si="15"/>
        <v>0</v>
      </c>
      <c r="K494" s="38"/>
    </row>
    <row r="495" spans="2:11" x14ac:dyDescent="0.35">
      <c r="B495" s="4"/>
      <c r="C495" s="4"/>
      <c r="D495" s="44"/>
      <c r="E495" s="94">
        <v>-0.13</v>
      </c>
      <c r="F495">
        <f t="shared" si="14"/>
        <v>0</v>
      </c>
      <c r="G495" s="74">
        <f t="shared" si="15"/>
        <v>0</v>
      </c>
      <c r="K495" s="38"/>
    </row>
    <row r="496" spans="2:11" x14ac:dyDescent="0.35">
      <c r="B496" s="4"/>
      <c r="C496" s="4"/>
      <c r="D496" s="44"/>
      <c r="E496" s="94">
        <v>-0.09</v>
      </c>
      <c r="F496">
        <f t="shared" si="14"/>
        <v>0</v>
      </c>
      <c r="G496" s="74">
        <f t="shared" si="15"/>
        <v>0</v>
      </c>
      <c r="K496" s="38"/>
    </row>
    <row r="497" spans="2:11" x14ac:dyDescent="0.35">
      <c r="B497" s="4"/>
      <c r="C497" s="4"/>
      <c r="D497" s="44"/>
      <c r="E497" s="94">
        <v>-0.13</v>
      </c>
      <c r="F497">
        <f t="shared" si="14"/>
        <v>0</v>
      </c>
      <c r="G497" s="74">
        <f t="shared" si="15"/>
        <v>0</v>
      </c>
      <c r="K497" s="38"/>
    </row>
    <row r="498" spans="2:11" x14ac:dyDescent="0.35">
      <c r="B498" s="4"/>
      <c r="C498" s="4"/>
      <c r="D498" s="44"/>
      <c r="E498" s="94">
        <v>-0.09</v>
      </c>
      <c r="F498">
        <f t="shared" si="14"/>
        <v>0</v>
      </c>
      <c r="G498" s="74">
        <f t="shared" si="15"/>
        <v>0</v>
      </c>
      <c r="K498" s="38"/>
    </row>
    <row r="499" spans="2:11" x14ac:dyDescent="0.35">
      <c r="B499" s="4"/>
      <c r="C499" s="4"/>
      <c r="D499" s="44"/>
      <c r="E499" s="94">
        <v>-0.09</v>
      </c>
      <c r="F499">
        <f t="shared" si="14"/>
        <v>0</v>
      </c>
      <c r="G499" s="74">
        <f t="shared" si="15"/>
        <v>0</v>
      </c>
      <c r="K499" s="38"/>
    </row>
    <row r="500" spans="2:11" x14ac:dyDescent="0.35">
      <c r="B500" s="4"/>
      <c r="C500" s="4"/>
      <c r="D500" s="44"/>
      <c r="E500" s="94">
        <v>-0.13</v>
      </c>
      <c r="F500">
        <f t="shared" si="14"/>
        <v>0</v>
      </c>
      <c r="G500" s="74">
        <f t="shared" si="15"/>
        <v>0</v>
      </c>
      <c r="K500" s="38"/>
    </row>
    <row r="501" spans="2:11" x14ac:dyDescent="0.35">
      <c r="B501" s="4"/>
      <c r="C501" s="4"/>
      <c r="D501" s="44"/>
      <c r="E501" s="94">
        <v>-0.13</v>
      </c>
      <c r="F501">
        <f t="shared" si="14"/>
        <v>0</v>
      </c>
      <c r="G501" s="74">
        <f t="shared" si="15"/>
        <v>0</v>
      </c>
      <c r="K501" s="38"/>
    </row>
    <row r="502" spans="2:11" x14ac:dyDescent="0.35">
      <c r="B502" s="4"/>
      <c r="C502" s="4"/>
      <c r="D502" s="44"/>
      <c r="E502" s="94">
        <v>-0.09</v>
      </c>
      <c r="F502">
        <f t="shared" si="14"/>
        <v>0</v>
      </c>
      <c r="G502" s="74">
        <f t="shared" si="15"/>
        <v>0</v>
      </c>
      <c r="K502" s="38"/>
    </row>
    <row r="503" spans="2:11" x14ac:dyDescent="0.35">
      <c r="B503" s="4"/>
      <c r="C503" s="4"/>
      <c r="D503" s="44"/>
      <c r="E503" s="94">
        <v>-0.13</v>
      </c>
      <c r="F503">
        <f t="shared" si="14"/>
        <v>0</v>
      </c>
      <c r="G503" s="74">
        <f t="shared" si="15"/>
        <v>0</v>
      </c>
      <c r="K503" s="38"/>
    </row>
    <row r="504" spans="2:11" x14ac:dyDescent="0.35">
      <c r="B504" s="4"/>
      <c r="C504" s="4"/>
      <c r="D504" s="44"/>
      <c r="E504" s="94">
        <v>-0.13</v>
      </c>
      <c r="F504">
        <f t="shared" si="14"/>
        <v>0</v>
      </c>
      <c r="G504" s="74">
        <f t="shared" si="15"/>
        <v>0</v>
      </c>
      <c r="K504" s="38"/>
    </row>
    <row r="505" spans="2:11" x14ac:dyDescent="0.35">
      <c r="B505" s="4"/>
      <c r="C505" s="4"/>
      <c r="D505" s="44"/>
      <c r="E505" s="94">
        <v>-0.13</v>
      </c>
      <c r="F505">
        <f t="shared" si="14"/>
        <v>0</v>
      </c>
      <c r="G505" s="74">
        <f t="shared" si="15"/>
        <v>0</v>
      </c>
      <c r="K505" s="38"/>
    </row>
    <row r="506" spans="2:11" x14ac:dyDescent="0.35">
      <c r="B506" s="4"/>
      <c r="C506" s="4"/>
      <c r="D506" s="44"/>
      <c r="E506" s="94">
        <v>-0.13</v>
      </c>
      <c r="F506">
        <f t="shared" si="14"/>
        <v>0</v>
      </c>
      <c r="G506" s="74">
        <f t="shared" si="15"/>
        <v>0</v>
      </c>
      <c r="K506" s="38"/>
    </row>
    <row r="507" spans="2:11" x14ac:dyDescent="0.35">
      <c r="B507" s="4"/>
      <c r="C507" s="4"/>
      <c r="D507" s="44"/>
      <c r="E507" s="94">
        <v>-0.13</v>
      </c>
      <c r="F507">
        <f t="shared" si="14"/>
        <v>0</v>
      </c>
      <c r="G507" s="74">
        <f t="shared" si="15"/>
        <v>0</v>
      </c>
      <c r="K507" s="38"/>
    </row>
    <row r="508" spans="2:11" x14ac:dyDescent="0.35">
      <c r="B508" s="4"/>
      <c r="C508" s="4"/>
      <c r="D508" s="44"/>
      <c r="E508" s="94">
        <v>-0.13</v>
      </c>
      <c r="F508">
        <f t="shared" si="14"/>
        <v>0</v>
      </c>
      <c r="G508" s="74">
        <f t="shared" si="15"/>
        <v>0</v>
      </c>
      <c r="K508" s="38"/>
    </row>
    <row r="509" spans="2:11" x14ac:dyDescent="0.35">
      <c r="B509" s="4"/>
      <c r="C509" s="4"/>
      <c r="D509" s="44"/>
      <c r="E509" s="94">
        <v>-0.13</v>
      </c>
      <c r="F509">
        <f t="shared" si="14"/>
        <v>0</v>
      </c>
      <c r="G509" s="74">
        <f t="shared" si="15"/>
        <v>0</v>
      </c>
      <c r="K509" s="38"/>
    </row>
    <row r="510" spans="2:11" x14ac:dyDescent="0.35">
      <c r="B510" s="4"/>
      <c r="C510" s="4"/>
      <c r="D510" s="44"/>
      <c r="E510" s="94">
        <v>-0.09</v>
      </c>
      <c r="F510">
        <f t="shared" si="14"/>
        <v>0</v>
      </c>
      <c r="G510" s="74">
        <f t="shared" si="15"/>
        <v>0</v>
      </c>
      <c r="K510" s="38"/>
    </row>
    <row r="511" spans="2:11" x14ac:dyDescent="0.35">
      <c r="B511" s="4"/>
      <c r="C511" s="4"/>
      <c r="D511" s="44"/>
      <c r="E511" s="94">
        <v>-0.13</v>
      </c>
      <c r="F511">
        <f t="shared" ref="F511:F574" si="16">IF(E511&gt;0,E511,0)</f>
        <v>0</v>
      </c>
      <c r="G511" s="74">
        <f t="shared" si="15"/>
        <v>0</v>
      </c>
      <c r="K511" s="38"/>
    </row>
    <row r="512" spans="2:11" x14ac:dyDescent="0.35">
      <c r="B512" s="4"/>
      <c r="C512" s="4"/>
      <c r="D512" s="44"/>
      <c r="E512" s="94">
        <v>-0.13</v>
      </c>
      <c r="F512">
        <f t="shared" si="16"/>
        <v>0</v>
      </c>
      <c r="G512" s="74">
        <f t="shared" si="15"/>
        <v>0</v>
      </c>
      <c r="K512" s="38"/>
    </row>
    <row r="513" spans="2:11" x14ac:dyDescent="0.35">
      <c r="B513" s="4"/>
      <c r="C513" s="4"/>
      <c r="D513" s="44"/>
      <c r="E513" s="94">
        <v>-0.09</v>
      </c>
      <c r="F513">
        <f t="shared" si="16"/>
        <v>0</v>
      </c>
      <c r="G513" s="74">
        <f t="shared" si="15"/>
        <v>0</v>
      </c>
      <c r="K513" s="38"/>
    </row>
    <row r="514" spans="2:11" x14ac:dyDescent="0.35">
      <c r="B514" s="4"/>
      <c r="C514" s="4"/>
      <c r="D514" s="44"/>
      <c r="E514" s="94">
        <v>-0.13</v>
      </c>
      <c r="F514">
        <f t="shared" si="16"/>
        <v>0</v>
      </c>
      <c r="G514" s="74">
        <f t="shared" si="15"/>
        <v>0</v>
      </c>
      <c r="K514" s="38"/>
    </row>
    <row r="515" spans="2:11" x14ac:dyDescent="0.35">
      <c r="B515" s="4"/>
      <c r="C515" s="4"/>
      <c r="D515" s="44"/>
      <c r="E515" s="94">
        <v>0</v>
      </c>
      <c r="F515">
        <f t="shared" si="16"/>
        <v>0</v>
      </c>
      <c r="G515" s="74">
        <f t="shared" si="15"/>
        <v>0</v>
      </c>
      <c r="K515" s="38"/>
    </row>
    <row r="516" spans="2:11" x14ac:dyDescent="0.35">
      <c r="B516" s="4"/>
      <c r="C516" s="4"/>
      <c r="D516" s="44"/>
      <c r="E516" s="94">
        <v>-0.17</v>
      </c>
      <c r="F516">
        <f t="shared" si="16"/>
        <v>0</v>
      </c>
      <c r="G516" s="74">
        <f t="shared" si="15"/>
        <v>0</v>
      </c>
      <c r="K516" s="38"/>
    </row>
    <row r="517" spans="2:11" x14ac:dyDescent="0.35">
      <c r="B517" s="4"/>
      <c r="C517" s="4"/>
      <c r="D517" s="44"/>
      <c r="E517" s="94">
        <v>-0.17</v>
      </c>
      <c r="F517">
        <f t="shared" si="16"/>
        <v>0</v>
      </c>
      <c r="G517" s="74">
        <f t="shared" si="15"/>
        <v>0</v>
      </c>
      <c r="K517" s="38"/>
    </row>
    <row r="518" spans="2:11" x14ac:dyDescent="0.35">
      <c r="B518" s="4"/>
      <c r="C518" s="4"/>
      <c r="D518" s="44"/>
      <c r="E518" s="94">
        <v>-0.13</v>
      </c>
      <c r="F518">
        <f t="shared" si="16"/>
        <v>0</v>
      </c>
      <c r="G518" s="74">
        <f t="shared" si="15"/>
        <v>0</v>
      </c>
      <c r="K518" s="38"/>
    </row>
    <row r="519" spans="2:11" x14ac:dyDescent="0.35">
      <c r="B519" s="4"/>
      <c r="C519" s="4"/>
      <c r="D519" s="44"/>
      <c r="E519" s="94">
        <v>-0.13</v>
      </c>
      <c r="F519">
        <f t="shared" si="16"/>
        <v>0</v>
      </c>
      <c r="G519" s="74">
        <f t="shared" si="15"/>
        <v>0</v>
      </c>
      <c r="K519" s="38"/>
    </row>
    <row r="520" spans="2:11" x14ac:dyDescent="0.35">
      <c r="B520" s="4"/>
      <c r="C520" s="4"/>
      <c r="D520" s="44"/>
      <c r="E520" s="94">
        <v>-0.13</v>
      </c>
      <c r="F520">
        <f t="shared" si="16"/>
        <v>0</v>
      </c>
      <c r="G520" s="74">
        <f t="shared" si="15"/>
        <v>0</v>
      </c>
      <c r="K520" s="38"/>
    </row>
    <row r="521" spans="2:11" x14ac:dyDescent="0.35">
      <c r="B521" s="4"/>
      <c r="C521" s="4"/>
      <c r="D521" s="44"/>
      <c r="E521" s="94">
        <v>-0.13</v>
      </c>
      <c r="F521">
        <f t="shared" si="16"/>
        <v>0</v>
      </c>
      <c r="G521" s="74">
        <f t="shared" si="15"/>
        <v>0</v>
      </c>
    </row>
    <row r="522" spans="2:11" x14ac:dyDescent="0.35">
      <c r="B522" s="4"/>
      <c r="C522" s="4"/>
      <c r="D522" s="44"/>
      <c r="E522" s="94">
        <v>-0.13</v>
      </c>
      <c r="F522">
        <f t="shared" si="16"/>
        <v>0</v>
      </c>
      <c r="G522" s="74">
        <f t="shared" si="15"/>
        <v>0</v>
      </c>
    </row>
    <row r="523" spans="2:11" x14ac:dyDescent="0.35">
      <c r="B523" s="4"/>
      <c r="C523" s="4"/>
      <c r="D523" s="44"/>
      <c r="E523" s="94">
        <v>-0.13</v>
      </c>
      <c r="F523">
        <f t="shared" si="16"/>
        <v>0</v>
      </c>
      <c r="G523" s="74">
        <f t="shared" si="15"/>
        <v>0</v>
      </c>
    </row>
    <row r="524" spans="2:11" x14ac:dyDescent="0.35">
      <c r="B524" s="4"/>
      <c r="C524" s="4"/>
      <c r="D524" s="44"/>
      <c r="E524" s="94">
        <v>-0.13</v>
      </c>
      <c r="F524">
        <f t="shared" si="16"/>
        <v>0</v>
      </c>
      <c r="G524" s="74">
        <f t="shared" si="15"/>
        <v>0</v>
      </c>
    </row>
    <row r="525" spans="2:11" x14ac:dyDescent="0.35">
      <c r="B525" s="4"/>
      <c r="C525" s="4"/>
      <c r="D525" s="44"/>
      <c r="E525" s="94">
        <v>-0.13</v>
      </c>
      <c r="F525">
        <f t="shared" si="16"/>
        <v>0</v>
      </c>
      <c r="G525" s="74">
        <f t="shared" si="15"/>
        <v>0</v>
      </c>
    </row>
    <row r="526" spans="2:11" x14ac:dyDescent="0.35">
      <c r="B526" s="4"/>
      <c r="C526" s="4"/>
      <c r="D526" s="44"/>
      <c r="E526" s="94">
        <v>-0.13</v>
      </c>
      <c r="F526">
        <f t="shared" si="16"/>
        <v>0</v>
      </c>
      <c r="G526" s="74">
        <f t="shared" si="15"/>
        <v>0</v>
      </c>
    </row>
    <row r="527" spans="2:11" x14ac:dyDescent="0.35">
      <c r="B527" s="4"/>
      <c r="C527" s="4"/>
      <c r="D527" s="44"/>
      <c r="E527" s="94">
        <v>-0.13</v>
      </c>
      <c r="F527">
        <f t="shared" si="16"/>
        <v>0</v>
      </c>
      <c r="G527" s="74">
        <f t="shared" si="15"/>
        <v>0</v>
      </c>
    </row>
    <row r="528" spans="2:11" x14ac:dyDescent="0.35">
      <c r="B528" s="4"/>
      <c r="C528" s="4"/>
      <c r="D528" s="44"/>
      <c r="E528" s="94">
        <v>-0.17</v>
      </c>
      <c r="F528">
        <f t="shared" si="16"/>
        <v>0</v>
      </c>
      <c r="G528" s="74">
        <f t="shared" si="15"/>
        <v>0</v>
      </c>
    </row>
    <row r="529" spans="2:7" x14ac:dyDescent="0.35">
      <c r="B529" s="4"/>
      <c r="C529" s="4"/>
      <c r="D529" s="44"/>
      <c r="E529" s="94">
        <v>-0.13</v>
      </c>
      <c r="F529">
        <f t="shared" si="16"/>
        <v>0</v>
      </c>
      <c r="G529" s="74">
        <f t="shared" si="15"/>
        <v>0</v>
      </c>
    </row>
    <row r="530" spans="2:7" x14ac:dyDescent="0.35">
      <c r="B530" s="4"/>
      <c r="C530" s="4"/>
      <c r="D530" s="44"/>
      <c r="E530" s="94">
        <v>-0.13</v>
      </c>
      <c r="F530">
        <f t="shared" si="16"/>
        <v>0</v>
      </c>
      <c r="G530" s="74">
        <f t="shared" si="15"/>
        <v>0</v>
      </c>
    </row>
    <row r="531" spans="2:7" x14ac:dyDescent="0.35">
      <c r="B531" s="4"/>
      <c r="C531" s="4"/>
      <c r="D531" s="44"/>
      <c r="E531" s="94">
        <v>-0.13</v>
      </c>
      <c r="F531">
        <f t="shared" si="16"/>
        <v>0</v>
      </c>
      <c r="G531" s="74">
        <f t="shared" si="15"/>
        <v>0</v>
      </c>
    </row>
    <row r="532" spans="2:7" x14ac:dyDescent="0.35">
      <c r="B532" s="4"/>
      <c r="C532" s="4"/>
      <c r="D532" s="44"/>
      <c r="E532" s="94">
        <v>-0.13</v>
      </c>
      <c r="F532">
        <f t="shared" si="16"/>
        <v>0</v>
      </c>
      <c r="G532" s="74">
        <f t="shared" si="15"/>
        <v>0</v>
      </c>
    </row>
    <row r="533" spans="2:7" x14ac:dyDescent="0.35">
      <c r="B533" s="4"/>
      <c r="C533" s="4"/>
      <c r="D533" s="44"/>
      <c r="E533" s="94">
        <v>-0.09</v>
      </c>
      <c r="F533">
        <f t="shared" si="16"/>
        <v>0</v>
      </c>
      <c r="G533" s="74">
        <f t="shared" si="15"/>
        <v>0</v>
      </c>
    </row>
    <row r="534" spans="2:7" x14ac:dyDescent="0.35">
      <c r="B534" s="4"/>
      <c r="C534" s="4"/>
      <c r="D534" s="44"/>
      <c r="E534" s="94">
        <v>-0.13</v>
      </c>
      <c r="F534">
        <f t="shared" si="16"/>
        <v>0</v>
      </c>
      <c r="G534" s="74">
        <f t="shared" si="15"/>
        <v>0</v>
      </c>
    </row>
    <row r="535" spans="2:7" x14ac:dyDescent="0.35">
      <c r="B535" s="4"/>
      <c r="C535" s="4"/>
      <c r="D535" s="44"/>
      <c r="E535" s="94">
        <v>-0.13</v>
      </c>
      <c r="F535">
        <f t="shared" si="16"/>
        <v>0</v>
      </c>
      <c r="G535" s="74">
        <f t="shared" si="15"/>
        <v>0</v>
      </c>
    </row>
    <row r="536" spans="2:7" x14ac:dyDescent="0.35">
      <c r="B536" s="4"/>
      <c r="C536" s="4"/>
      <c r="D536" s="44"/>
      <c r="E536" s="94">
        <v>-0.13</v>
      </c>
      <c r="F536">
        <f t="shared" si="16"/>
        <v>0</v>
      </c>
      <c r="G536" s="74">
        <f t="shared" si="15"/>
        <v>0</v>
      </c>
    </row>
    <row r="537" spans="2:7" x14ac:dyDescent="0.35">
      <c r="B537" s="4"/>
      <c r="C537" s="4"/>
      <c r="D537" s="44"/>
      <c r="E537" s="94">
        <v>-0.13</v>
      </c>
      <c r="F537">
        <f t="shared" si="16"/>
        <v>0</v>
      </c>
      <c r="G537" s="74">
        <f t="shared" si="15"/>
        <v>0</v>
      </c>
    </row>
    <row r="538" spans="2:7" x14ac:dyDescent="0.35">
      <c r="B538" s="4"/>
      <c r="C538" s="4"/>
      <c r="D538" s="44"/>
      <c r="E538" s="94">
        <v>-0.13</v>
      </c>
      <c r="F538">
        <f t="shared" si="16"/>
        <v>0</v>
      </c>
      <c r="G538" s="74">
        <f t="shared" si="15"/>
        <v>0</v>
      </c>
    </row>
    <row r="539" spans="2:7" x14ac:dyDescent="0.35">
      <c r="B539" s="4"/>
      <c r="C539" s="4"/>
      <c r="D539" s="44"/>
      <c r="E539" s="94">
        <v>-0.13</v>
      </c>
      <c r="F539">
        <f t="shared" si="16"/>
        <v>0</v>
      </c>
      <c r="G539" s="74">
        <f t="shared" si="15"/>
        <v>0</v>
      </c>
    </row>
    <row r="540" spans="2:7" x14ac:dyDescent="0.35">
      <c r="B540" s="4"/>
      <c r="C540" s="4"/>
      <c r="D540" s="44"/>
      <c r="E540" s="94">
        <v>-0.13</v>
      </c>
      <c r="F540">
        <f t="shared" si="16"/>
        <v>0</v>
      </c>
      <c r="G540" s="74">
        <f t="shared" ref="G540:G603" si="17">F540*EXP($C$15*(C$16-25))</f>
        <v>0</v>
      </c>
    </row>
    <row r="541" spans="2:7" x14ac:dyDescent="0.35">
      <c r="B541" s="4"/>
      <c r="C541" s="4"/>
      <c r="D541" s="44"/>
      <c r="E541" s="94">
        <v>-0.13</v>
      </c>
      <c r="F541">
        <f t="shared" si="16"/>
        <v>0</v>
      </c>
      <c r="G541" s="74">
        <f t="shared" si="17"/>
        <v>0</v>
      </c>
    </row>
    <row r="542" spans="2:7" x14ac:dyDescent="0.35">
      <c r="B542" s="4"/>
      <c r="C542" s="4"/>
      <c r="D542" s="44"/>
      <c r="E542" s="94">
        <v>-0.13</v>
      </c>
      <c r="F542">
        <f t="shared" si="16"/>
        <v>0</v>
      </c>
      <c r="G542" s="74">
        <f t="shared" si="17"/>
        <v>0</v>
      </c>
    </row>
    <row r="543" spans="2:7" x14ac:dyDescent="0.35">
      <c r="B543" s="4"/>
      <c r="C543" s="4"/>
      <c r="D543" s="44"/>
      <c r="E543" s="94">
        <v>-0.13</v>
      </c>
      <c r="F543">
        <f t="shared" si="16"/>
        <v>0</v>
      </c>
      <c r="G543" s="74">
        <f t="shared" si="17"/>
        <v>0</v>
      </c>
    </row>
    <row r="544" spans="2:7" x14ac:dyDescent="0.35">
      <c r="B544" s="4"/>
      <c r="C544" s="4"/>
      <c r="D544" s="44"/>
      <c r="E544" s="94">
        <v>-0.13</v>
      </c>
      <c r="F544">
        <f t="shared" si="16"/>
        <v>0</v>
      </c>
      <c r="G544" s="74">
        <f t="shared" si="17"/>
        <v>0</v>
      </c>
    </row>
    <row r="545" spans="2:7" x14ac:dyDescent="0.35">
      <c r="B545" s="4"/>
      <c r="C545" s="4"/>
      <c r="D545" s="44"/>
      <c r="E545" s="94">
        <v>-0.17</v>
      </c>
      <c r="F545">
        <f t="shared" si="16"/>
        <v>0</v>
      </c>
      <c r="G545" s="74">
        <f t="shared" si="17"/>
        <v>0</v>
      </c>
    </row>
    <row r="546" spans="2:7" x14ac:dyDescent="0.35">
      <c r="B546" s="4"/>
      <c r="C546" s="4"/>
      <c r="D546" s="44"/>
      <c r="E546" s="94">
        <v>-0.13</v>
      </c>
      <c r="F546">
        <f t="shared" si="16"/>
        <v>0</v>
      </c>
      <c r="G546" s="74">
        <f t="shared" si="17"/>
        <v>0</v>
      </c>
    </row>
    <row r="547" spans="2:7" x14ac:dyDescent="0.35">
      <c r="B547" s="4"/>
      <c r="C547" s="4"/>
      <c r="D547" s="44"/>
      <c r="E547" s="94">
        <v>-0.09</v>
      </c>
      <c r="F547">
        <f t="shared" si="16"/>
        <v>0</v>
      </c>
      <c r="G547" s="74">
        <f t="shared" si="17"/>
        <v>0</v>
      </c>
    </row>
    <row r="548" spans="2:7" x14ac:dyDescent="0.35">
      <c r="B548" s="4"/>
      <c r="C548" s="4"/>
      <c r="D548" s="44"/>
      <c r="E548" s="94">
        <v>-0.09</v>
      </c>
      <c r="F548">
        <f t="shared" si="16"/>
        <v>0</v>
      </c>
      <c r="G548" s="74">
        <f t="shared" si="17"/>
        <v>0</v>
      </c>
    </row>
    <row r="549" spans="2:7" x14ac:dyDescent="0.35">
      <c r="B549" s="4"/>
      <c r="C549" s="4"/>
      <c r="D549" s="44"/>
      <c r="E549" s="94">
        <v>-0.13</v>
      </c>
      <c r="F549">
        <f t="shared" si="16"/>
        <v>0</v>
      </c>
      <c r="G549" s="74">
        <f t="shared" si="17"/>
        <v>0</v>
      </c>
    </row>
    <row r="550" spans="2:7" x14ac:dyDescent="0.35">
      <c r="B550" s="4"/>
      <c r="C550" s="4"/>
      <c r="D550" s="44"/>
      <c r="E550" s="94">
        <v>-0.09</v>
      </c>
      <c r="F550">
        <f t="shared" si="16"/>
        <v>0</v>
      </c>
      <c r="G550" s="74">
        <f t="shared" si="17"/>
        <v>0</v>
      </c>
    </row>
    <row r="551" spans="2:7" x14ac:dyDescent="0.35">
      <c r="B551" s="4"/>
      <c r="C551" s="4"/>
      <c r="D551" s="44"/>
      <c r="E551" s="94">
        <v>-0.13</v>
      </c>
      <c r="F551">
        <f t="shared" si="16"/>
        <v>0</v>
      </c>
      <c r="G551" s="74">
        <f t="shared" si="17"/>
        <v>0</v>
      </c>
    </row>
    <row r="552" spans="2:7" x14ac:dyDescent="0.35">
      <c r="B552" s="4"/>
      <c r="C552" s="4"/>
      <c r="D552" s="44"/>
      <c r="E552" s="94">
        <v>-0.13</v>
      </c>
      <c r="F552">
        <f t="shared" si="16"/>
        <v>0</v>
      </c>
      <c r="G552" s="74">
        <f t="shared" si="17"/>
        <v>0</v>
      </c>
    </row>
    <row r="553" spans="2:7" x14ac:dyDescent="0.35">
      <c r="B553" s="4"/>
      <c r="C553" s="4"/>
      <c r="D553" s="44"/>
      <c r="E553" s="94">
        <v>-0.17</v>
      </c>
      <c r="F553">
        <f t="shared" si="16"/>
        <v>0</v>
      </c>
      <c r="G553" s="74">
        <f t="shared" si="17"/>
        <v>0</v>
      </c>
    </row>
    <row r="554" spans="2:7" x14ac:dyDescent="0.35">
      <c r="B554" s="4"/>
      <c r="C554" s="4"/>
      <c r="D554" s="44"/>
      <c r="E554" s="94">
        <v>-0.13</v>
      </c>
      <c r="F554">
        <f t="shared" si="16"/>
        <v>0</v>
      </c>
      <c r="G554" s="74">
        <f t="shared" si="17"/>
        <v>0</v>
      </c>
    </row>
    <row r="555" spans="2:7" x14ac:dyDescent="0.35">
      <c r="B555" s="4"/>
      <c r="C555" s="4"/>
      <c r="D555" s="44"/>
      <c r="E555" s="94">
        <v>-0.13</v>
      </c>
      <c r="F555">
        <f t="shared" si="16"/>
        <v>0</v>
      </c>
      <c r="G555" s="74">
        <f t="shared" si="17"/>
        <v>0</v>
      </c>
    </row>
    <row r="556" spans="2:7" x14ac:dyDescent="0.35">
      <c r="B556" s="4"/>
      <c r="C556" s="4"/>
      <c r="D556" s="44"/>
      <c r="E556" s="94">
        <v>-0.17</v>
      </c>
      <c r="F556">
        <f t="shared" si="16"/>
        <v>0</v>
      </c>
      <c r="G556" s="74">
        <f t="shared" si="17"/>
        <v>0</v>
      </c>
    </row>
    <row r="557" spans="2:7" x14ac:dyDescent="0.35">
      <c r="B557" s="4"/>
      <c r="C557" s="4"/>
      <c r="D557" s="44"/>
      <c r="E557" s="94">
        <v>-0.17</v>
      </c>
      <c r="F557">
        <f t="shared" si="16"/>
        <v>0</v>
      </c>
      <c r="G557" s="74">
        <f t="shared" si="17"/>
        <v>0</v>
      </c>
    </row>
    <row r="558" spans="2:7" x14ac:dyDescent="0.35">
      <c r="B558" s="4"/>
      <c r="C558" s="4"/>
      <c r="D558" s="44"/>
      <c r="E558" s="94">
        <v>-0.17</v>
      </c>
      <c r="F558">
        <f t="shared" si="16"/>
        <v>0</v>
      </c>
      <c r="G558" s="74">
        <f t="shared" si="17"/>
        <v>0</v>
      </c>
    </row>
    <row r="559" spans="2:7" x14ac:dyDescent="0.35">
      <c r="B559" s="4"/>
      <c r="C559" s="4"/>
      <c r="D559" s="44"/>
      <c r="E559" s="94">
        <v>-0.17</v>
      </c>
      <c r="F559">
        <f t="shared" si="16"/>
        <v>0</v>
      </c>
      <c r="G559" s="74">
        <f t="shared" si="17"/>
        <v>0</v>
      </c>
    </row>
    <row r="560" spans="2:7" x14ac:dyDescent="0.35">
      <c r="B560" s="4"/>
      <c r="C560" s="4"/>
      <c r="D560" s="44"/>
      <c r="E560" s="94">
        <v>-0.13</v>
      </c>
      <c r="F560">
        <f t="shared" si="16"/>
        <v>0</v>
      </c>
      <c r="G560" s="74">
        <f t="shared" si="17"/>
        <v>0</v>
      </c>
    </row>
    <row r="561" spans="2:7" x14ac:dyDescent="0.35">
      <c r="B561" s="4"/>
      <c r="C561" s="4"/>
      <c r="D561" s="44"/>
      <c r="E561" s="94">
        <v>-0.17</v>
      </c>
      <c r="F561">
        <f t="shared" si="16"/>
        <v>0</v>
      </c>
      <c r="G561" s="74">
        <f t="shared" si="17"/>
        <v>0</v>
      </c>
    </row>
    <row r="562" spans="2:7" x14ac:dyDescent="0.35">
      <c r="B562" s="4"/>
      <c r="C562" s="4"/>
      <c r="D562" s="44"/>
      <c r="E562" s="94">
        <v>-0.17</v>
      </c>
      <c r="F562">
        <f t="shared" si="16"/>
        <v>0</v>
      </c>
      <c r="G562" s="74">
        <f t="shared" si="17"/>
        <v>0</v>
      </c>
    </row>
    <row r="563" spans="2:7" x14ac:dyDescent="0.35">
      <c r="B563" s="4"/>
      <c r="C563" s="4"/>
      <c r="D563" s="44"/>
      <c r="E563" s="94">
        <v>-0.17</v>
      </c>
      <c r="F563">
        <f t="shared" si="16"/>
        <v>0</v>
      </c>
      <c r="G563" s="74">
        <f t="shared" si="17"/>
        <v>0</v>
      </c>
    </row>
    <row r="564" spans="2:7" x14ac:dyDescent="0.35">
      <c r="B564" s="4"/>
      <c r="C564" s="4"/>
      <c r="D564" s="44"/>
      <c r="E564" s="94">
        <v>-0.17</v>
      </c>
      <c r="F564">
        <f t="shared" si="16"/>
        <v>0</v>
      </c>
      <c r="G564" s="74">
        <f t="shared" si="17"/>
        <v>0</v>
      </c>
    </row>
    <row r="565" spans="2:7" x14ac:dyDescent="0.35">
      <c r="B565" s="4"/>
      <c r="C565" s="4"/>
      <c r="D565" s="44"/>
      <c r="E565" s="94">
        <v>-0.13</v>
      </c>
      <c r="F565">
        <f t="shared" si="16"/>
        <v>0</v>
      </c>
      <c r="G565" s="74">
        <f t="shared" si="17"/>
        <v>0</v>
      </c>
    </row>
    <row r="566" spans="2:7" x14ac:dyDescent="0.35">
      <c r="B566" s="4"/>
      <c r="C566" s="4"/>
      <c r="D566" s="44"/>
      <c r="E566" s="94">
        <v>-0.13</v>
      </c>
      <c r="F566">
        <f t="shared" si="16"/>
        <v>0</v>
      </c>
      <c r="G566" s="74">
        <f t="shared" si="17"/>
        <v>0</v>
      </c>
    </row>
    <row r="567" spans="2:7" x14ac:dyDescent="0.35">
      <c r="B567" s="4"/>
      <c r="C567" s="4"/>
      <c r="D567" s="44"/>
      <c r="E567" s="94">
        <v>-0.13</v>
      </c>
      <c r="F567">
        <f t="shared" si="16"/>
        <v>0</v>
      </c>
      <c r="G567" s="74">
        <f t="shared" si="17"/>
        <v>0</v>
      </c>
    </row>
    <row r="568" spans="2:7" x14ac:dyDescent="0.35">
      <c r="B568" s="4"/>
      <c r="C568" s="4"/>
      <c r="D568" s="44"/>
      <c r="E568" s="94">
        <v>-0.13</v>
      </c>
      <c r="F568">
        <f t="shared" si="16"/>
        <v>0</v>
      </c>
      <c r="G568" s="74">
        <f t="shared" si="17"/>
        <v>0</v>
      </c>
    </row>
    <row r="569" spans="2:7" x14ac:dyDescent="0.35">
      <c r="B569" s="4"/>
      <c r="C569" s="4"/>
      <c r="D569" s="44"/>
      <c r="E569" s="94">
        <v>-0.17</v>
      </c>
      <c r="F569">
        <f t="shared" si="16"/>
        <v>0</v>
      </c>
      <c r="G569" s="74">
        <f t="shared" si="17"/>
        <v>0</v>
      </c>
    </row>
    <row r="570" spans="2:7" x14ac:dyDescent="0.35">
      <c r="B570" s="4"/>
      <c r="C570" s="4"/>
      <c r="D570" s="44"/>
      <c r="E570" s="94">
        <v>-0.13</v>
      </c>
      <c r="F570">
        <f t="shared" si="16"/>
        <v>0</v>
      </c>
      <c r="G570" s="74">
        <f t="shared" si="17"/>
        <v>0</v>
      </c>
    </row>
    <row r="571" spans="2:7" x14ac:dyDescent="0.35">
      <c r="B571" s="4"/>
      <c r="C571" s="4"/>
      <c r="D571" s="44"/>
      <c r="E571" s="94">
        <v>-0.17</v>
      </c>
      <c r="F571">
        <f t="shared" si="16"/>
        <v>0</v>
      </c>
      <c r="G571" s="74">
        <f t="shared" si="17"/>
        <v>0</v>
      </c>
    </row>
    <row r="572" spans="2:7" x14ac:dyDescent="0.35">
      <c r="B572" s="4"/>
      <c r="C572" s="4"/>
      <c r="D572" s="44"/>
      <c r="E572" s="94">
        <v>-0.17</v>
      </c>
      <c r="F572">
        <f t="shared" si="16"/>
        <v>0</v>
      </c>
      <c r="G572" s="74">
        <f t="shared" si="17"/>
        <v>0</v>
      </c>
    </row>
    <row r="573" spans="2:7" x14ac:dyDescent="0.35">
      <c r="B573" s="4"/>
      <c r="C573" s="4"/>
      <c r="D573" s="44"/>
      <c r="E573" s="94">
        <v>-0.13</v>
      </c>
      <c r="F573">
        <f t="shared" si="16"/>
        <v>0</v>
      </c>
      <c r="G573" s="74">
        <f t="shared" si="17"/>
        <v>0</v>
      </c>
    </row>
    <row r="574" spans="2:7" x14ac:dyDescent="0.35">
      <c r="B574" s="4"/>
      <c r="C574" s="4"/>
      <c r="D574" s="44"/>
      <c r="E574" s="94">
        <v>-0.17</v>
      </c>
      <c r="F574">
        <f t="shared" si="16"/>
        <v>0</v>
      </c>
      <c r="G574" s="74">
        <f t="shared" si="17"/>
        <v>0</v>
      </c>
    </row>
    <row r="575" spans="2:7" x14ac:dyDescent="0.35">
      <c r="B575" s="4"/>
      <c r="C575" s="4"/>
      <c r="D575" s="44"/>
      <c r="E575" s="94">
        <v>-0.17</v>
      </c>
      <c r="F575">
        <f t="shared" ref="F575:F638" si="18">IF(E575&gt;0,E575,0)</f>
        <v>0</v>
      </c>
      <c r="G575" s="74">
        <f t="shared" si="17"/>
        <v>0</v>
      </c>
    </row>
    <row r="576" spans="2:7" x14ac:dyDescent="0.35">
      <c r="B576" s="4"/>
      <c r="C576" s="4"/>
      <c r="D576" s="44"/>
      <c r="E576" s="94">
        <v>-0.13</v>
      </c>
      <c r="F576">
        <f t="shared" si="18"/>
        <v>0</v>
      </c>
      <c r="G576" s="74">
        <f t="shared" si="17"/>
        <v>0</v>
      </c>
    </row>
    <row r="577" spans="2:7" x14ac:dyDescent="0.35">
      <c r="B577" s="4"/>
      <c r="C577" s="4"/>
      <c r="D577" s="44"/>
      <c r="E577" s="94">
        <v>-0.13</v>
      </c>
      <c r="F577">
        <f t="shared" si="18"/>
        <v>0</v>
      </c>
      <c r="G577" s="74">
        <f t="shared" si="17"/>
        <v>0</v>
      </c>
    </row>
    <row r="578" spans="2:7" x14ac:dyDescent="0.35">
      <c r="B578" s="4"/>
      <c r="C578" s="4"/>
      <c r="D578" s="44"/>
      <c r="E578" s="94">
        <v>-0.13</v>
      </c>
      <c r="F578">
        <f t="shared" si="18"/>
        <v>0</v>
      </c>
      <c r="G578" s="74">
        <f t="shared" si="17"/>
        <v>0</v>
      </c>
    </row>
    <row r="579" spans="2:7" x14ac:dyDescent="0.35">
      <c r="B579" s="4"/>
      <c r="C579" s="4"/>
      <c r="D579" s="44"/>
      <c r="E579" s="94">
        <v>-0.13</v>
      </c>
      <c r="F579">
        <f t="shared" si="18"/>
        <v>0</v>
      </c>
      <c r="G579" s="74">
        <f t="shared" si="17"/>
        <v>0</v>
      </c>
    </row>
    <row r="580" spans="2:7" x14ac:dyDescent="0.35">
      <c r="B580" s="4"/>
      <c r="C580" s="4"/>
      <c r="D580" s="44"/>
      <c r="E580" s="94">
        <v>-0.13</v>
      </c>
      <c r="F580">
        <f t="shared" si="18"/>
        <v>0</v>
      </c>
      <c r="G580" s="74">
        <f t="shared" si="17"/>
        <v>0</v>
      </c>
    </row>
    <row r="581" spans="2:7" x14ac:dyDescent="0.35">
      <c r="B581" s="4"/>
      <c r="C581" s="4"/>
      <c r="D581" s="44"/>
      <c r="E581" s="94">
        <v>-0.13</v>
      </c>
      <c r="F581">
        <f t="shared" si="18"/>
        <v>0</v>
      </c>
      <c r="G581" s="74">
        <f t="shared" si="17"/>
        <v>0</v>
      </c>
    </row>
    <row r="582" spans="2:7" x14ac:dyDescent="0.35">
      <c r="B582" s="4"/>
      <c r="C582" s="4"/>
      <c r="D582" s="44"/>
      <c r="E582" s="94">
        <v>-0.17</v>
      </c>
      <c r="F582">
        <f t="shared" si="18"/>
        <v>0</v>
      </c>
      <c r="G582" s="74">
        <f t="shared" si="17"/>
        <v>0</v>
      </c>
    </row>
    <row r="583" spans="2:7" x14ac:dyDescent="0.35">
      <c r="B583" s="4"/>
      <c r="C583" s="4"/>
      <c r="D583" s="44"/>
      <c r="E583" s="94">
        <v>-0.17</v>
      </c>
      <c r="F583">
        <f t="shared" si="18"/>
        <v>0</v>
      </c>
      <c r="G583" s="74">
        <f t="shared" si="17"/>
        <v>0</v>
      </c>
    </row>
    <row r="584" spans="2:7" x14ac:dyDescent="0.35">
      <c r="B584" s="4"/>
      <c r="C584" s="4"/>
      <c r="D584" s="44"/>
      <c r="E584" s="94">
        <v>-0.17</v>
      </c>
      <c r="F584">
        <f t="shared" si="18"/>
        <v>0</v>
      </c>
      <c r="G584" s="74">
        <f t="shared" si="17"/>
        <v>0</v>
      </c>
    </row>
    <row r="585" spans="2:7" x14ac:dyDescent="0.35">
      <c r="B585" s="4"/>
      <c r="C585" s="4"/>
      <c r="D585" s="44"/>
      <c r="E585" s="94">
        <v>-0.13</v>
      </c>
      <c r="F585">
        <f t="shared" si="18"/>
        <v>0</v>
      </c>
      <c r="G585" s="74">
        <f t="shared" si="17"/>
        <v>0</v>
      </c>
    </row>
    <row r="586" spans="2:7" x14ac:dyDescent="0.35">
      <c r="B586" s="4"/>
      <c r="C586" s="4"/>
      <c r="D586" s="44"/>
      <c r="E586" s="94">
        <v>-0.17</v>
      </c>
      <c r="F586">
        <f t="shared" si="18"/>
        <v>0</v>
      </c>
      <c r="G586" s="74">
        <f t="shared" si="17"/>
        <v>0</v>
      </c>
    </row>
    <row r="587" spans="2:7" x14ac:dyDescent="0.35">
      <c r="B587" s="4"/>
      <c r="C587" s="4"/>
      <c r="D587" s="44"/>
      <c r="E587" s="94">
        <v>-0.17</v>
      </c>
      <c r="F587">
        <f t="shared" si="18"/>
        <v>0</v>
      </c>
      <c r="G587" s="74">
        <f t="shared" si="17"/>
        <v>0</v>
      </c>
    </row>
    <row r="588" spans="2:7" x14ac:dyDescent="0.35">
      <c r="B588" s="4"/>
      <c r="C588" s="4"/>
      <c r="D588" s="44"/>
      <c r="E588" s="94">
        <v>-0.17</v>
      </c>
      <c r="F588">
        <f t="shared" si="18"/>
        <v>0</v>
      </c>
      <c r="G588" s="74">
        <f t="shared" si="17"/>
        <v>0</v>
      </c>
    </row>
    <row r="589" spans="2:7" x14ac:dyDescent="0.35">
      <c r="B589" s="4"/>
      <c r="C589" s="4"/>
      <c r="D589" s="44"/>
      <c r="E589" s="94">
        <v>-0.17</v>
      </c>
      <c r="F589">
        <f t="shared" si="18"/>
        <v>0</v>
      </c>
      <c r="G589" s="74">
        <f t="shared" si="17"/>
        <v>0</v>
      </c>
    </row>
    <row r="590" spans="2:7" x14ac:dyDescent="0.35">
      <c r="B590" s="4"/>
      <c r="C590" s="4"/>
      <c r="D590" s="44"/>
      <c r="E590" s="94">
        <v>-0.17</v>
      </c>
      <c r="F590">
        <f t="shared" si="18"/>
        <v>0</v>
      </c>
      <c r="G590" s="74">
        <f t="shared" si="17"/>
        <v>0</v>
      </c>
    </row>
    <row r="591" spans="2:7" x14ac:dyDescent="0.35">
      <c r="B591" s="4"/>
      <c r="C591" s="4"/>
      <c r="D591" s="44"/>
      <c r="E591" s="94">
        <v>-0.17</v>
      </c>
      <c r="F591">
        <f t="shared" si="18"/>
        <v>0</v>
      </c>
      <c r="G591" s="74">
        <f t="shared" si="17"/>
        <v>0</v>
      </c>
    </row>
    <row r="592" spans="2:7" x14ac:dyDescent="0.35">
      <c r="B592" s="4"/>
      <c r="C592" s="4"/>
      <c r="D592" s="44"/>
      <c r="E592" s="94">
        <v>-0.17</v>
      </c>
      <c r="F592">
        <f t="shared" si="18"/>
        <v>0</v>
      </c>
      <c r="G592" s="74">
        <f t="shared" si="17"/>
        <v>0</v>
      </c>
    </row>
    <row r="593" spans="2:7" x14ac:dyDescent="0.35">
      <c r="B593" s="4"/>
      <c r="C593" s="4"/>
      <c r="D593" s="44"/>
      <c r="E593" s="94">
        <v>-0.13</v>
      </c>
      <c r="F593">
        <f t="shared" si="18"/>
        <v>0</v>
      </c>
      <c r="G593" s="74">
        <f t="shared" si="17"/>
        <v>0</v>
      </c>
    </row>
    <row r="594" spans="2:7" x14ac:dyDescent="0.35">
      <c r="B594" s="4"/>
      <c r="C594" s="4"/>
      <c r="D594" s="44"/>
      <c r="E594" s="94">
        <v>-0.17</v>
      </c>
      <c r="F594">
        <f t="shared" si="18"/>
        <v>0</v>
      </c>
      <c r="G594" s="74">
        <f t="shared" si="17"/>
        <v>0</v>
      </c>
    </row>
    <row r="595" spans="2:7" x14ac:dyDescent="0.35">
      <c r="B595" s="4"/>
      <c r="C595" s="4"/>
      <c r="D595" s="44"/>
      <c r="E595" s="94">
        <v>-0.13</v>
      </c>
      <c r="F595">
        <f t="shared" si="18"/>
        <v>0</v>
      </c>
      <c r="G595" s="74">
        <f t="shared" si="17"/>
        <v>0</v>
      </c>
    </row>
    <row r="596" spans="2:7" x14ac:dyDescent="0.35">
      <c r="B596" s="4"/>
      <c r="C596" s="4"/>
      <c r="D596" s="44"/>
      <c r="E596" s="94">
        <v>-0.17</v>
      </c>
      <c r="F596">
        <f t="shared" si="18"/>
        <v>0</v>
      </c>
      <c r="G596" s="74">
        <f t="shared" si="17"/>
        <v>0</v>
      </c>
    </row>
    <row r="597" spans="2:7" x14ac:dyDescent="0.35">
      <c r="B597" s="4"/>
      <c r="C597" s="4"/>
      <c r="D597" s="44"/>
      <c r="E597" s="94">
        <v>-0.17</v>
      </c>
      <c r="F597">
        <f t="shared" si="18"/>
        <v>0</v>
      </c>
      <c r="G597" s="74">
        <f t="shared" si="17"/>
        <v>0</v>
      </c>
    </row>
    <row r="598" spans="2:7" x14ac:dyDescent="0.35">
      <c r="B598" s="4"/>
      <c r="C598" s="4"/>
      <c r="D598" s="44"/>
      <c r="E598" s="94">
        <v>-0.17</v>
      </c>
      <c r="F598">
        <f t="shared" si="18"/>
        <v>0</v>
      </c>
      <c r="G598" s="74">
        <f t="shared" si="17"/>
        <v>0</v>
      </c>
    </row>
    <row r="599" spans="2:7" x14ac:dyDescent="0.35">
      <c r="B599" s="4"/>
      <c r="C599" s="4"/>
      <c r="D599" s="44"/>
      <c r="E599" s="94">
        <v>-0.13</v>
      </c>
      <c r="F599">
        <f t="shared" si="18"/>
        <v>0</v>
      </c>
      <c r="G599" s="74">
        <f t="shared" si="17"/>
        <v>0</v>
      </c>
    </row>
    <row r="600" spans="2:7" x14ac:dyDescent="0.35">
      <c r="B600" s="4"/>
      <c r="C600" s="4"/>
      <c r="D600" s="44"/>
      <c r="E600" s="94">
        <v>-0.17</v>
      </c>
      <c r="F600">
        <f t="shared" si="18"/>
        <v>0</v>
      </c>
      <c r="G600" s="74">
        <f t="shared" si="17"/>
        <v>0</v>
      </c>
    </row>
    <row r="601" spans="2:7" x14ac:dyDescent="0.35">
      <c r="B601" s="4"/>
      <c r="C601" s="4"/>
      <c r="D601" s="44"/>
      <c r="E601" s="94">
        <v>-0.17</v>
      </c>
      <c r="F601">
        <f t="shared" si="18"/>
        <v>0</v>
      </c>
      <c r="G601" s="74">
        <f t="shared" si="17"/>
        <v>0</v>
      </c>
    </row>
    <row r="602" spans="2:7" x14ac:dyDescent="0.35">
      <c r="B602" s="4"/>
      <c r="C602" s="4"/>
      <c r="D602" s="44"/>
      <c r="E602" s="94">
        <v>-0.17</v>
      </c>
      <c r="F602">
        <f t="shared" si="18"/>
        <v>0</v>
      </c>
      <c r="G602" s="74">
        <f t="shared" si="17"/>
        <v>0</v>
      </c>
    </row>
    <row r="603" spans="2:7" x14ac:dyDescent="0.35">
      <c r="B603" s="4"/>
      <c r="C603" s="4"/>
      <c r="D603" s="44"/>
      <c r="E603" s="94">
        <v>-0.17</v>
      </c>
      <c r="F603">
        <f t="shared" si="18"/>
        <v>0</v>
      </c>
      <c r="G603" s="74">
        <f t="shared" si="17"/>
        <v>0</v>
      </c>
    </row>
    <row r="604" spans="2:7" x14ac:dyDescent="0.35">
      <c r="B604" s="4"/>
      <c r="C604" s="4"/>
      <c r="D604" s="44"/>
      <c r="E604" s="94">
        <v>-0.17</v>
      </c>
      <c r="F604">
        <f t="shared" si="18"/>
        <v>0</v>
      </c>
      <c r="G604" s="74">
        <f t="shared" ref="G604:G667" si="19">F604*EXP($C$15*(C$16-25))</f>
        <v>0</v>
      </c>
    </row>
    <row r="605" spans="2:7" x14ac:dyDescent="0.35">
      <c r="B605" s="4"/>
      <c r="C605" s="4"/>
      <c r="D605" s="44"/>
      <c r="E605" s="94">
        <v>-0.13</v>
      </c>
      <c r="F605">
        <f t="shared" si="18"/>
        <v>0</v>
      </c>
      <c r="G605" s="74">
        <f t="shared" si="19"/>
        <v>0</v>
      </c>
    </row>
    <row r="606" spans="2:7" x14ac:dyDescent="0.35">
      <c r="B606" s="4"/>
      <c r="C606" s="4"/>
      <c r="D606" s="44"/>
      <c r="E606" s="94">
        <v>-0.17</v>
      </c>
      <c r="F606">
        <f t="shared" si="18"/>
        <v>0</v>
      </c>
      <c r="G606" s="74">
        <f t="shared" si="19"/>
        <v>0</v>
      </c>
    </row>
    <row r="607" spans="2:7" x14ac:dyDescent="0.35">
      <c r="B607" s="4"/>
      <c r="C607" s="4"/>
      <c r="D607" s="44"/>
      <c r="E607" s="94">
        <v>-0.13</v>
      </c>
      <c r="F607">
        <f t="shared" si="18"/>
        <v>0</v>
      </c>
      <c r="G607" s="74">
        <f t="shared" si="19"/>
        <v>0</v>
      </c>
    </row>
    <row r="608" spans="2:7" x14ac:dyDescent="0.35">
      <c r="B608" s="4"/>
      <c r="C608" s="4"/>
      <c r="D608" s="44"/>
      <c r="E608" s="94">
        <v>-0.17</v>
      </c>
      <c r="F608">
        <f t="shared" si="18"/>
        <v>0</v>
      </c>
      <c r="G608" s="74">
        <f t="shared" si="19"/>
        <v>0</v>
      </c>
    </row>
    <row r="609" spans="2:7" x14ac:dyDescent="0.35">
      <c r="B609" s="4"/>
      <c r="C609" s="4"/>
      <c r="D609" s="44"/>
      <c r="E609" s="94">
        <v>-0.17</v>
      </c>
      <c r="F609">
        <f t="shared" si="18"/>
        <v>0</v>
      </c>
      <c r="G609" s="74">
        <f t="shared" si="19"/>
        <v>0</v>
      </c>
    </row>
    <row r="610" spans="2:7" x14ac:dyDescent="0.35">
      <c r="B610" s="4"/>
      <c r="C610" s="4"/>
      <c r="D610" s="44"/>
      <c r="E610" s="94">
        <v>-0.17</v>
      </c>
      <c r="F610">
        <f t="shared" si="18"/>
        <v>0</v>
      </c>
      <c r="G610" s="74">
        <f t="shared" si="19"/>
        <v>0</v>
      </c>
    </row>
    <row r="611" spans="2:7" x14ac:dyDescent="0.35">
      <c r="B611" s="4"/>
      <c r="C611" s="4"/>
      <c r="D611" s="44"/>
      <c r="E611" s="94">
        <v>-0.17</v>
      </c>
      <c r="F611">
        <f t="shared" si="18"/>
        <v>0</v>
      </c>
      <c r="G611" s="74">
        <f t="shared" si="19"/>
        <v>0</v>
      </c>
    </row>
    <row r="612" spans="2:7" x14ac:dyDescent="0.35">
      <c r="B612" s="4"/>
      <c r="C612" s="4"/>
      <c r="D612" s="44"/>
      <c r="E612" s="94">
        <v>-0.17</v>
      </c>
      <c r="F612">
        <f t="shared" si="18"/>
        <v>0</v>
      </c>
      <c r="G612" s="74">
        <f t="shared" si="19"/>
        <v>0</v>
      </c>
    </row>
    <row r="613" spans="2:7" x14ac:dyDescent="0.35">
      <c r="B613" s="4"/>
      <c r="C613" s="4"/>
      <c r="D613" s="44"/>
      <c r="E613" s="94">
        <v>-0.17</v>
      </c>
      <c r="F613">
        <f t="shared" si="18"/>
        <v>0</v>
      </c>
      <c r="G613" s="74">
        <f t="shared" si="19"/>
        <v>0</v>
      </c>
    </row>
    <row r="614" spans="2:7" x14ac:dyDescent="0.35">
      <c r="B614" s="4"/>
      <c r="C614" s="4"/>
      <c r="D614" s="44"/>
      <c r="E614" s="94">
        <v>-0.17</v>
      </c>
      <c r="F614">
        <f t="shared" si="18"/>
        <v>0</v>
      </c>
      <c r="G614" s="74">
        <f t="shared" si="19"/>
        <v>0</v>
      </c>
    </row>
    <row r="615" spans="2:7" x14ac:dyDescent="0.35">
      <c r="B615" s="4"/>
      <c r="C615" s="4"/>
      <c r="D615" s="44"/>
      <c r="E615" s="94">
        <v>-0.13</v>
      </c>
      <c r="F615">
        <f t="shared" si="18"/>
        <v>0</v>
      </c>
      <c r="G615" s="74">
        <f t="shared" si="19"/>
        <v>0</v>
      </c>
    </row>
    <row r="616" spans="2:7" x14ac:dyDescent="0.35">
      <c r="B616" s="4"/>
      <c r="C616" s="4"/>
      <c r="D616" s="44"/>
      <c r="E616" s="94">
        <v>-0.17</v>
      </c>
      <c r="F616">
        <f t="shared" si="18"/>
        <v>0</v>
      </c>
      <c r="G616" s="74">
        <f t="shared" si="19"/>
        <v>0</v>
      </c>
    </row>
    <row r="617" spans="2:7" x14ac:dyDescent="0.35">
      <c r="B617" s="4"/>
      <c r="C617" s="4"/>
      <c r="D617" s="44"/>
      <c r="E617" s="94">
        <v>-0.13</v>
      </c>
      <c r="F617">
        <f t="shared" si="18"/>
        <v>0</v>
      </c>
      <c r="G617" s="74">
        <f t="shared" si="19"/>
        <v>0</v>
      </c>
    </row>
    <row r="618" spans="2:7" x14ac:dyDescent="0.35">
      <c r="B618" s="4"/>
      <c r="C618" s="4"/>
      <c r="D618" s="44"/>
      <c r="E618" s="94">
        <v>-0.17</v>
      </c>
      <c r="F618">
        <f t="shared" si="18"/>
        <v>0</v>
      </c>
      <c r="G618" s="74">
        <f t="shared" si="19"/>
        <v>0</v>
      </c>
    </row>
    <row r="619" spans="2:7" x14ac:dyDescent="0.35">
      <c r="B619" s="4"/>
      <c r="C619" s="4"/>
      <c r="D619" s="44"/>
      <c r="E619" s="94">
        <v>-0.17</v>
      </c>
      <c r="F619">
        <f t="shared" si="18"/>
        <v>0</v>
      </c>
      <c r="G619" s="74">
        <f t="shared" si="19"/>
        <v>0</v>
      </c>
    </row>
    <row r="620" spans="2:7" x14ac:dyDescent="0.35">
      <c r="B620" s="4"/>
      <c r="C620" s="4"/>
      <c r="D620" s="44"/>
      <c r="E620" s="94">
        <v>-0.09</v>
      </c>
      <c r="F620">
        <f t="shared" si="18"/>
        <v>0</v>
      </c>
      <c r="G620" s="74">
        <f t="shared" si="19"/>
        <v>0</v>
      </c>
    </row>
    <row r="621" spans="2:7" x14ac:dyDescent="0.35">
      <c r="B621" s="4"/>
      <c r="C621" s="4"/>
      <c r="D621" s="44"/>
      <c r="E621" s="94">
        <v>-0.17</v>
      </c>
      <c r="F621">
        <f t="shared" si="18"/>
        <v>0</v>
      </c>
      <c r="G621" s="74">
        <f t="shared" si="19"/>
        <v>0</v>
      </c>
    </row>
    <row r="622" spans="2:7" x14ac:dyDescent="0.35">
      <c r="B622" s="4"/>
      <c r="C622" s="4"/>
      <c r="D622" s="44"/>
      <c r="E622" s="94">
        <v>-0.17</v>
      </c>
      <c r="F622">
        <f t="shared" si="18"/>
        <v>0</v>
      </c>
      <c r="G622" s="74">
        <f t="shared" si="19"/>
        <v>0</v>
      </c>
    </row>
    <row r="623" spans="2:7" x14ac:dyDescent="0.35">
      <c r="B623" s="4"/>
      <c r="C623" s="4"/>
      <c r="D623" s="44"/>
      <c r="E623" s="94">
        <v>-0.17</v>
      </c>
      <c r="F623">
        <f t="shared" si="18"/>
        <v>0</v>
      </c>
      <c r="G623" s="74">
        <f t="shared" si="19"/>
        <v>0</v>
      </c>
    </row>
    <row r="624" spans="2:7" x14ac:dyDescent="0.35">
      <c r="B624" s="4"/>
      <c r="C624" s="4"/>
      <c r="D624" s="44"/>
      <c r="E624" s="94">
        <v>-0.13</v>
      </c>
      <c r="F624">
        <f t="shared" si="18"/>
        <v>0</v>
      </c>
      <c r="G624" s="74">
        <f t="shared" si="19"/>
        <v>0</v>
      </c>
    </row>
    <row r="625" spans="2:7" x14ac:dyDescent="0.35">
      <c r="B625" s="4"/>
      <c r="C625" s="4"/>
      <c r="D625" s="44"/>
      <c r="E625" s="94">
        <v>-0.17</v>
      </c>
      <c r="F625">
        <f t="shared" si="18"/>
        <v>0</v>
      </c>
      <c r="G625" s="74">
        <f t="shared" si="19"/>
        <v>0</v>
      </c>
    </row>
    <row r="626" spans="2:7" x14ac:dyDescent="0.35">
      <c r="B626" s="4"/>
      <c r="C626" s="4"/>
      <c r="D626" s="44"/>
      <c r="E626" s="94">
        <v>-0.17</v>
      </c>
      <c r="F626">
        <f t="shared" si="18"/>
        <v>0</v>
      </c>
      <c r="G626" s="74">
        <f t="shared" si="19"/>
        <v>0</v>
      </c>
    </row>
    <row r="627" spans="2:7" x14ac:dyDescent="0.35">
      <c r="B627" s="5"/>
      <c r="C627" s="5"/>
      <c r="D627" s="45"/>
      <c r="E627" s="94">
        <v>-0.17</v>
      </c>
      <c r="F627">
        <f t="shared" si="18"/>
        <v>0</v>
      </c>
      <c r="G627" s="74">
        <f t="shared" si="19"/>
        <v>0</v>
      </c>
    </row>
    <row r="628" spans="2:7" x14ac:dyDescent="0.35">
      <c r="E628" s="94">
        <v>-0.17</v>
      </c>
      <c r="F628">
        <f t="shared" si="18"/>
        <v>0</v>
      </c>
      <c r="G628" s="74">
        <f t="shared" si="19"/>
        <v>0</v>
      </c>
    </row>
    <row r="629" spans="2:7" x14ac:dyDescent="0.35">
      <c r="E629" s="94">
        <v>-0.17</v>
      </c>
      <c r="F629">
        <f t="shared" si="18"/>
        <v>0</v>
      </c>
      <c r="G629" s="74">
        <f t="shared" si="19"/>
        <v>0</v>
      </c>
    </row>
    <row r="630" spans="2:7" x14ac:dyDescent="0.35">
      <c r="E630" s="94">
        <v>-0.17</v>
      </c>
      <c r="F630">
        <f t="shared" si="18"/>
        <v>0</v>
      </c>
      <c r="G630" s="74">
        <f t="shared" si="19"/>
        <v>0</v>
      </c>
    </row>
    <row r="631" spans="2:7" x14ac:dyDescent="0.35">
      <c r="E631" s="94">
        <v>-0.17</v>
      </c>
      <c r="F631">
        <f t="shared" si="18"/>
        <v>0</v>
      </c>
      <c r="G631" s="74">
        <f t="shared" si="19"/>
        <v>0</v>
      </c>
    </row>
    <row r="632" spans="2:7" x14ac:dyDescent="0.35">
      <c r="E632" s="94">
        <v>-0.17</v>
      </c>
      <c r="F632">
        <f t="shared" si="18"/>
        <v>0</v>
      </c>
      <c r="G632" s="74">
        <f t="shared" si="19"/>
        <v>0</v>
      </c>
    </row>
    <row r="633" spans="2:7" x14ac:dyDescent="0.35">
      <c r="E633" s="94">
        <v>-0.17</v>
      </c>
      <c r="F633">
        <f t="shared" si="18"/>
        <v>0</v>
      </c>
      <c r="G633" s="74">
        <f t="shared" si="19"/>
        <v>0</v>
      </c>
    </row>
    <row r="634" spans="2:7" x14ac:dyDescent="0.35">
      <c r="E634" s="94">
        <v>-0.17</v>
      </c>
      <c r="F634">
        <f t="shared" si="18"/>
        <v>0</v>
      </c>
      <c r="G634" s="74">
        <f t="shared" si="19"/>
        <v>0</v>
      </c>
    </row>
    <row r="635" spans="2:7" x14ac:dyDescent="0.35">
      <c r="E635" s="94">
        <v>-0.17</v>
      </c>
      <c r="F635">
        <f t="shared" si="18"/>
        <v>0</v>
      </c>
      <c r="G635" s="74">
        <f t="shared" si="19"/>
        <v>0</v>
      </c>
    </row>
    <row r="636" spans="2:7" x14ac:dyDescent="0.35">
      <c r="E636" s="94">
        <v>-0.09</v>
      </c>
      <c r="F636">
        <f t="shared" si="18"/>
        <v>0</v>
      </c>
      <c r="G636" s="74">
        <f t="shared" si="19"/>
        <v>0</v>
      </c>
    </row>
    <row r="637" spans="2:7" x14ac:dyDescent="0.35">
      <c r="E637" s="94">
        <v>-0.13</v>
      </c>
      <c r="F637">
        <f t="shared" si="18"/>
        <v>0</v>
      </c>
      <c r="G637" s="74">
        <f t="shared" si="19"/>
        <v>0</v>
      </c>
    </row>
    <row r="638" spans="2:7" x14ac:dyDescent="0.35">
      <c r="E638" s="94">
        <v>-0.17</v>
      </c>
      <c r="F638">
        <f t="shared" si="18"/>
        <v>0</v>
      </c>
      <c r="G638" s="74">
        <f t="shared" si="19"/>
        <v>0</v>
      </c>
    </row>
    <row r="639" spans="2:7" x14ac:dyDescent="0.35">
      <c r="E639" s="94">
        <v>-0.17</v>
      </c>
      <c r="F639">
        <f t="shared" ref="F639:F702" si="20">IF(E639&gt;0,E639,0)</f>
        <v>0</v>
      </c>
      <c r="G639" s="74">
        <f t="shared" si="19"/>
        <v>0</v>
      </c>
    </row>
    <row r="640" spans="2:7" x14ac:dyDescent="0.35">
      <c r="E640" s="94">
        <v>-0.17</v>
      </c>
      <c r="F640">
        <f t="shared" si="20"/>
        <v>0</v>
      </c>
      <c r="G640" s="74">
        <f t="shared" si="19"/>
        <v>0</v>
      </c>
    </row>
    <row r="641" spans="5:7" x14ac:dyDescent="0.35">
      <c r="E641" s="94">
        <v>-0.17</v>
      </c>
      <c r="F641">
        <f t="shared" si="20"/>
        <v>0</v>
      </c>
      <c r="G641" s="74">
        <f t="shared" si="19"/>
        <v>0</v>
      </c>
    </row>
    <row r="642" spans="5:7" x14ac:dyDescent="0.35">
      <c r="E642" s="94">
        <v>-0.13</v>
      </c>
      <c r="F642">
        <f t="shared" si="20"/>
        <v>0</v>
      </c>
      <c r="G642" s="74">
        <f t="shared" si="19"/>
        <v>0</v>
      </c>
    </row>
    <row r="643" spans="5:7" x14ac:dyDescent="0.35">
      <c r="E643" s="94">
        <v>-0.17</v>
      </c>
      <c r="F643">
        <f t="shared" si="20"/>
        <v>0</v>
      </c>
      <c r="G643" s="74">
        <f t="shared" si="19"/>
        <v>0</v>
      </c>
    </row>
    <row r="644" spans="5:7" x14ac:dyDescent="0.35">
      <c r="E644" s="94">
        <v>-0.17</v>
      </c>
      <c r="F644">
        <f t="shared" si="20"/>
        <v>0</v>
      </c>
      <c r="G644" s="74">
        <f t="shared" si="19"/>
        <v>0</v>
      </c>
    </row>
    <row r="645" spans="5:7" x14ac:dyDescent="0.35">
      <c r="E645" s="94">
        <v>-0.17</v>
      </c>
      <c r="F645">
        <f t="shared" si="20"/>
        <v>0</v>
      </c>
      <c r="G645" s="74">
        <f t="shared" si="19"/>
        <v>0</v>
      </c>
    </row>
    <row r="646" spans="5:7" x14ac:dyDescent="0.35">
      <c r="E646" s="94">
        <v>-0.17</v>
      </c>
      <c r="F646">
        <f t="shared" si="20"/>
        <v>0</v>
      </c>
      <c r="G646" s="74">
        <f t="shared" si="19"/>
        <v>0</v>
      </c>
    </row>
    <row r="647" spans="5:7" x14ac:dyDescent="0.35">
      <c r="E647" s="94">
        <v>-0.17</v>
      </c>
      <c r="F647">
        <f t="shared" si="20"/>
        <v>0</v>
      </c>
      <c r="G647" s="74">
        <f t="shared" si="19"/>
        <v>0</v>
      </c>
    </row>
    <row r="648" spans="5:7" x14ac:dyDescent="0.35">
      <c r="E648" s="94">
        <v>-0.17</v>
      </c>
      <c r="F648">
        <f t="shared" si="20"/>
        <v>0</v>
      </c>
      <c r="G648" s="74">
        <f t="shared" si="19"/>
        <v>0</v>
      </c>
    </row>
    <row r="649" spans="5:7" x14ac:dyDescent="0.35">
      <c r="E649" s="94">
        <v>-0.17</v>
      </c>
      <c r="F649">
        <f t="shared" si="20"/>
        <v>0</v>
      </c>
      <c r="G649" s="74">
        <f t="shared" si="19"/>
        <v>0</v>
      </c>
    </row>
    <row r="650" spans="5:7" x14ac:dyDescent="0.35">
      <c r="E650" s="94">
        <v>-0.09</v>
      </c>
      <c r="F650">
        <f t="shared" si="20"/>
        <v>0</v>
      </c>
      <c r="G650" s="74">
        <f t="shared" si="19"/>
        <v>0</v>
      </c>
    </row>
    <row r="651" spans="5:7" x14ac:dyDescent="0.35">
      <c r="E651" s="94">
        <v>-0.17</v>
      </c>
      <c r="F651">
        <f t="shared" si="20"/>
        <v>0</v>
      </c>
      <c r="G651" s="74">
        <f t="shared" si="19"/>
        <v>0</v>
      </c>
    </row>
    <row r="652" spans="5:7" x14ac:dyDescent="0.35">
      <c r="E652" s="94">
        <v>-0.13</v>
      </c>
      <c r="F652">
        <f t="shared" si="20"/>
        <v>0</v>
      </c>
      <c r="G652" s="74">
        <f t="shared" si="19"/>
        <v>0</v>
      </c>
    </row>
    <row r="653" spans="5:7" x14ac:dyDescent="0.35">
      <c r="E653" s="94">
        <v>-0.17</v>
      </c>
      <c r="F653">
        <f t="shared" si="20"/>
        <v>0</v>
      </c>
      <c r="G653" s="74">
        <f t="shared" si="19"/>
        <v>0</v>
      </c>
    </row>
    <row r="654" spans="5:7" x14ac:dyDescent="0.35">
      <c r="E654" s="94">
        <v>-0.22</v>
      </c>
      <c r="F654">
        <f t="shared" si="20"/>
        <v>0</v>
      </c>
      <c r="G654" s="74">
        <f t="shared" si="19"/>
        <v>0</v>
      </c>
    </row>
    <row r="655" spans="5:7" x14ac:dyDescent="0.35">
      <c r="E655" s="94">
        <v>-0.17</v>
      </c>
      <c r="F655">
        <f t="shared" si="20"/>
        <v>0</v>
      </c>
      <c r="G655" s="74">
        <f t="shared" si="19"/>
        <v>0</v>
      </c>
    </row>
    <row r="656" spans="5:7" x14ac:dyDescent="0.35">
      <c r="E656" s="94">
        <v>-0.13</v>
      </c>
      <c r="F656">
        <f t="shared" si="20"/>
        <v>0</v>
      </c>
      <c r="G656" s="74">
        <f t="shared" si="19"/>
        <v>0</v>
      </c>
    </row>
    <row r="657" spans="5:7" x14ac:dyDescent="0.35">
      <c r="E657" s="94">
        <v>-0.13</v>
      </c>
      <c r="F657">
        <f t="shared" si="20"/>
        <v>0</v>
      </c>
      <c r="G657" s="74">
        <f t="shared" si="19"/>
        <v>0</v>
      </c>
    </row>
    <row r="658" spans="5:7" x14ac:dyDescent="0.35">
      <c r="E658" s="94">
        <v>-0.17</v>
      </c>
      <c r="F658">
        <f t="shared" si="20"/>
        <v>0</v>
      </c>
      <c r="G658" s="74">
        <f t="shared" si="19"/>
        <v>0</v>
      </c>
    </row>
    <row r="659" spans="5:7" x14ac:dyDescent="0.35">
      <c r="E659" s="94">
        <v>-0.17</v>
      </c>
      <c r="F659">
        <f t="shared" si="20"/>
        <v>0</v>
      </c>
      <c r="G659" s="74">
        <f t="shared" si="19"/>
        <v>0</v>
      </c>
    </row>
    <row r="660" spans="5:7" x14ac:dyDescent="0.35">
      <c r="E660" s="94">
        <v>-0.17</v>
      </c>
      <c r="F660">
        <f t="shared" si="20"/>
        <v>0</v>
      </c>
      <c r="G660" s="74">
        <f t="shared" si="19"/>
        <v>0</v>
      </c>
    </row>
    <row r="661" spans="5:7" x14ac:dyDescent="0.35">
      <c r="E661" s="94">
        <v>-0.17</v>
      </c>
      <c r="F661">
        <f t="shared" si="20"/>
        <v>0</v>
      </c>
      <c r="G661" s="74">
        <f t="shared" si="19"/>
        <v>0</v>
      </c>
    </row>
    <row r="662" spans="5:7" x14ac:dyDescent="0.35">
      <c r="E662" s="94">
        <v>-0.17</v>
      </c>
      <c r="F662">
        <f t="shared" si="20"/>
        <v>0</v>
      </c>
      <c r="G662" s="74">
        <f t="shared" si="19"/>
        <v>0</v>
      </c>
    </row>
    <row r="663" spans="5:7" x14ac:dyDescent="0.35">
      <c r="E663" s="94">
        <v>-0.17</v>
      </c>
      <c r="F663">
        <f t="shared" si="20"/>
        <v>0</v>
      </c>
      <c r="G663" s="74">
        <f t="shared" si="19"/>
        <v>0</v>
      </c>
    </row>
    <row r="664" spans="5:7" x14ac:dyDescent="0.35">
      <c r="E664" s="94">
        <v>-0.17</v>
      </c>
      <c r="F664">
        <f t="shared" si="20"/>
        <v>0</v>
      </c>
      <c r="G664" s="74">
        <f t="shared" si="19"/>
        <v>0</v>
      </c>
    </row>
    <row r="665" spans="5:7" x14ac:dyDescent="0.35">
      <c r="E665" s="94">
        <v>-0.17</v>
      </c>
      <c r="F665">
        <f t="shared" si="20"/>
        <v>0</v>
      </c>
      <c r="G665" s="74">
        <f t="shared" si="19"/>
        <v>0</v>
      </c>
    </row>
    <row r="666" spans="5:7" x14ac:dyDescent="0.35">
      <c r="E666" s="94">
        <v>-0.17</v>
      </c>
      <c r="F666">
        <f t="shared" si="20"/>
        <v>0</v>
      </c>
      <c r="G666" s="74">
        <f t="shared" si="19"/>
        <v>0</v>
      </c>
    </row>
    <row r="667" spans="5:7" x14ac:dyDescent="0.35">
      <c r="E667" s="94">
        <v>-0.13</v>
      </c>
      <c r="F667">
        <f t="shared" si="20"/>
        <v>0</v>
      </c>
      <c r="G667" s="74">
        <f t="shared" si="19"/>
        <v>0</v>
      </c>
    </row>
    <row r="668" spans="5:7" x14ac:dyDescent="0.35">
      <c r="E668" s="94">
        <v>-0.22</v>
      </c>
      <c r="F668">
        <f t="shared" si="20"/>
        <v>0</v>
      </c>
      <c r="G668" s="74">
        <f t="shared" ref="G668:G731" si="21">F668*EXP($C$15*(C$16-25))</f>
        <v>0</v>
      </c>
    </row>
    <row r="669" spans="5:7" x14ac:dyDescent="0.35">
      <c r="E669" s="94">
        <v>-0.17</v>
      </c>
      <c r="F669">
        <f t="shared" si="20"/>
        <v>0</v>
      </c>
      <c r="G669" s="74">
        <f t="shared" si="21"/>
        <v>0</v>
      </c>
    </row>
    <row r="670" spans="5:7" x14ac:dyDescent="0.35">
      <c r="E670" s="94">
        <v>-0.13</v>
      </c>
      <c r="F670">
        <f t="shared" si="20"/>
        <v>0</v>
      </c>
      <c r="G670" s="74">
        <f t="shared" si="21"/>
        <v>0</v>
      </c>
    </row>
    <row r="671" spans="5:7" x14ac:dyDescent="0.35">
      <c r="E671" s="94">
        <v>-0.17</v>
      </c>
      <c r="F671">
        <f t="shared" si="20"/>
        <v>0</v>
      </c>
      <c r="G671" s="74">
        <f t="shared" si="21"/>
        <v>0</v>
      </c>
    </row>
    <row r="672" spans="5:7" x14ac:dyDescent="0.35">
      <c r="E672" s="94">
        <v>-0.17</v>
      </c>
      <c r="F672">
        <f t="shared" si="20"/>
        <v>0</v>
      </c>
      <c r="G672" s="74">
        <f t="shared" si="21"/>
        <v>0</v>
      </c>
    </row>
    <row r="673" spans="5:7" x14ac:dyDescent="0.35">
      <c r="E673" s="94">
        <v>-0.17</v>
      </c>
      <c r="F673">
        <f t="shared" si="20"/>
        <v>0</v>
      </c>
      <c r="G673" s="74">
        <f t="shared" si="21"/>
        <v>0</v>
      </c>
    </row>
    <row r="674" spans="5:7" x14ac:dyDescent="0.35">
      <c r="E674" s="94">
        <v>-0.17</v>
      </c>
      <c r="F674">
        <f t="shared" si="20"/>
        <v>0</v>
      </c>
      <c r="G674" s="74">
        <f t="shared" si="21"/>
        <v>0</v>
      </c>
    </row>
    <row r="675" spans="5:7" x14ac:dyDescent="0.35">
      <c r="E675" s="94">
        <v>-0.17</v>
      </c>
      <c r="F675">
        <f t="shared" si="20"/>
        <v>0</v>
      </c>
      <c r="G675" s="74">
        <f t="shared" si="21"/>
        <v>0</v>
      </c>
    </row>
    <row r="676" spans="5:7" x14ac:dyDescent="0.35">
      <c r="E676" s="94">
        <v>-0.17</v>
      </c>
      <c r="F676">
        <f t="shared" si="20"/>
        <v>0</v>
      </c>
      <c r="G676" s="74">
        <f t="shared" si="21"/>
        <v>0</v>
      </c>
    </row>
    <row r="677" spans="5:7" x14ac:dyDescent="0.35">
      <c r="E677" s="94">
        <v>-0.17</v>
      </c>
      <c r="F677">
        <f t="shared" si="20"/>
        <v>0</v>
      </c>
      <c r="G677" s="74">
        <f t="shared" si="21"/>
        <v>0</v>
      </c>
    </row>
    <row r="678" spans="5:7" x14ac:dyDescent="0.35">
      <c r="E678" s="94">
        <v>-0.17</v>
      </c>
      <c r="F678">
        <f t="shared" si="20"/>
        <v>0</v>
      </c>
      <c r="G678" s="74">
        <f t="shared" si="21"/>
        <v>0</v>
      </c>
    </row>
    <row r="679" spans="5:7" x14ac:dyDescent="0.35">
      <c r="E679" s="94">
        <v>-0.17</v>
      </c>
      <c r="F679">
        <f t="shared" si="20"/>
        <v>0</v>
      </c>
      <c r="G679" s="74">
        <f t="shared" si="21"/>
        <v>0</v>
      </c>
    </row>
    <row r="680" spans="5:7" x14ac:dyDescent="0.35">
      <c r="E680" s="94">
        <v>-0.13</v>
      </c>
      <c r="F680">
        <f t="shared" si="20"/>
        <v>0</v>
      </c>
      <c r="G680" s="74">
        <f t="shared" si="21"/>
        <v>0</v>
      </c>
    </row>
    <row r="681" spans="5:7" x14ac:dyDescent="0.35">
      <c r="E681" s="94">
        <v>-0.09</v>
      </c>
      <c r="F681">
        <f t="shared" si="20"/>
        <v>0</v>
      </c>
      <c r="G681" s="74">
        <f t="shared" si="21"/>
        <v>0</v>
      </c>
    </row>
    <row r="682" spans="5:7" x14ac:dyDescent="0.35">
      <c r="E682" s="94">
        <v>-0.17</v>
      </c>
      <c r="F682">
        <f t="shared" si="20"/>
        <v>0</v>
      </c>
      <c r="G682" s="74">
        <f t="shared" si="21"/>
        <v>0</v>
      </c>
    </row>
    <row r="683" spans="5:7" x14ac:dyDescent="0.35">
      <c r="E683" s="94">
        <v>-0.13</v>
      </c>
      <c r="F683">
        <f t="shared" si="20"/>
        <v>0</v>
      </c>
      <c r="G683" s="74">
        <f t="shared" si="21"/>
        <v>0</v>
      </c>
    </row>
    <row r="684" spans="5:7" x14ac:dyDescent="0.35">
      <c r="E684" s="94">
        <v>-0.17</v>
      </c>
      <c r="F684">
        <f t="shared" si="20"/>
        <v>0</v>
      </c>
      <c r="G684" s="74">
        <f t="shared" si="21"/>
        <v>0</v>
      </c>
    </row>
    <row r="685" spans="5:7" x14ac:dyDescent="0.35">
      <c r="E685" s="94">
        <v>-0.17</v>
      </c>
      <c r="F685">
        <f t="shared" si="20"/>
        <v>0</v>
      </c>
      <c r="G685" s="74">
        <f t="shared" si="21"/>
        <v>0</v>
      </c>
    </row>
    <row r="686" spans="5:7" x14ac:dyDescent="0.35">
      <c r="E686" s="94">
        <v>-0.17</v>
      </c>
      <c r="F686">
        <f t="shared" si="20"/>
        <v>0</v>
      </c>
      <c r="G686" s="74">
        <f t="shared" si="21"/>
        <v>0</v>
      </c>
    </row>
    <row r="687" spans="5:7" x14ac:dyDescent="0.35">
      <c r="E687" s="94">
        <v>-0.13</v>
      </c>
      <c r="F687">
        <f t="shared" si="20"/>
        <v>0</v>
      </c>
      <c r="G687" s="74">
        <f t="shared" si="21"/>
        <v>0</v>
      </c>
    </row>
    <row r="688" spans="5:7" x14ac:dyDescent="0.35">
      <c r="E688" s="94">
        <v>-0.17</v>
      </c>
      <c r="F688">
        <f t="shared" si="20"/>
        <v>0</v>
      </c>
      <c r="G688" s="74">
        <f t="shared" si="21"/>
        <v>0</v>
      </c>
    </row>
    <row r="689" spans="5:7" x14ac:dyDescent="0.35">
      <c r="E689" s="94">
        <v>-0.13</v>
      </c>
      <c r="F689">
        <f t="shared" si="20"/>
        <v>0</v>
      </c>
      <c r="G689" s="74">
        <f t="shared" si="21"/>
        <v>0</v>
      </c>
    </row>
    <row r="690" spans="5:7" x14ac:dyDescent="0.35">
      <c r="E690" s="94">
        <v>-0.09</v>
      </c>
      <c r="F690">
        <f t="shared" si="20"/>
        <v>0</v>
      </c>
      <c r="G690" s="74">
        <f t="shared" si="21"/>
        <v>0</v>
      </c>
    </row>
    <row r="691" spans="5:7" x14ac:dyDescent="0.35">
      <c r="E691" s="94">
        <v>-0.13</v>
      </c>
      <c r="F691">
        <f t="shared" si="20"/>
        <v>0</v>
      </c>
      <c r="G691" s="74">
        <f t="shared" si="21"/>
        <v>0</v>
      </c>
    </row>
    <row r="692" spans="5:7" x14ac:dyDescent="0.35">
      <c r="E692" s="94">
        <v>-0.17</v>
      </c>
      <c r="F692">
        <f t="shared" si="20"/>
        <v>0</v>
      </c>
      <c r="G692" s="74">
        <f t="shared" si="21"/>
        <v>0</v>
      </c>
    </row>
    <row r="693" spans="5:7" x14ac:dyDescent="0.35">
      <c r="E693" s="94">
        <v>-0.17</v>
      </c>
      <c r="F693">
        <f t="shared" si="20"/>
        <v>0</v>
      </c>
      <c r="G693" s="74">
        <f t="shared" si="21"/>
        <v>0</v>
      </c>
    </row>
    <row r="694" spans="5:7" x14ac:dyDescent="0.35">
      <c r="E694" s="94">
        <v>-0.17</v>
      </c>
      <c r="F694">
        <f t="shared" si="20"/>
        <v>0</v>
      </c>
      <c r="G694" s="74">
        <f t="shared" si="21"/>
        <v>0</v>
      </c>
    </row>
    <row r="695" spans="5:7" x14ac:dyDescent="0.35">
      <c r="E695" s="94">
        <v>-0.17</v>
      </c>
      <c r="F695">
        <f t="shared" si="20"/>
        <v>0</v>
      </c>
      <c r="G695" s="74">
        <f t="shared" si="21"/>
        <v>0</v>
      </c>
    </row>
    <row r="696" spans="5:7" x14ac:dyDescent="0.35">
      <c r="E696" s="94">
        <v>-0.17</v>
      </c>
      <c r="F696">
        <f t="shared" si="20"/>
        <v>0</v>
      </c>
      <c r="G696" s="74">
        <f t="shared" si="21"/>
        <v>0</v>
      </c>
    </row>
    <row r="697" spans="5:7" x14ac:dyDescent="0.35">
      <c r="E697" s="94">
        <v>-0.17</v>
      </c>
      <c r="F697">
        <f t="shared" si="20"/>
        <v>0</v>
      </c>
      <c r="G697" s="74">
        <f t="shared" si="21"/>
        <v>0</v>
      </c>
    </row>
    <row r="698" spans="5:7" x14ac:dyDescent="0.35">
      <c r="E698" s="94">
        <v>-0.17</v>
      </c>
      <c r="F698">
        <f t="shared" si="20"/>
        <v>0</v>
      </c>
      <c r="G698" s="74">
        <f t="shared" si="21"/>
        <v>0</v>
      </c>
    </row>
    <row r="699" spans="5:7" x14ac:dyDescent="0.35">
      <c r="E699" s="94">
        <v>-0.17</v>
      </c>
      <c r="F699">
        <f t="shared" si="20"/>
        <v>0</v>
      </c>
      <c r="G699" s="74">
        <f t="shared" si="21"/>
        <v>0</v>
      </c>
    </row>
    <row r="700" spans="5:7" x14ac:dyDescent="0.35">
      <c r="E700" s="94">
        <v>-0.22</v>
      </c>
      <c r="F700">
        <f t="shared" si="20"/>
        <v>0</v>
      </c>
      <c r="G700" s="74">
        <f t="shared" si="21"/>
        <v>0</v>
      </c>
    </row>
    <row r="701" spans="5:7" x14ac:dyDescent="0.35">
      <c r="E701" s="94">
        <v>-0.17</v>
      </c>
      <c r="F701">
        <f t="shared" si="20"/>
        <v>0</v>
      </c>
      <c r="G701" s="74">
        <f t="shared" si="21"/>
        <v>0</v>
      </c>
    </row>
    <row r="702" spans="5:7" x14ac:dyDescent="0.35">
      <c r="E702" s="94">
        <v>-0.17</v>
      </c>
      <c r="F702">
        <f t="shared" si="20"/>
        <v>0</v>
      </c>
      <c r="G702" s="74">
        <f t="shared" si="21"/>
        <v>0</v>
      </c>
    </row>
    <row r="703" spans="5:7" x14ac:dyDescent="0.35">
      <c r="E703" s="94">
        <v>-0.17</v>
      </c>
      <c r="F703">
        <f t="shared" ref="F703:F766" si="22">IF(E703&gt;0,E703,0)</f>
        <v>0</v>
      </c>
      <c r="G703" s="74">
        <f t="shared" si="21"/>
        <v>0</v>
      </c>
    </row>
    <row r="704" spans="5:7" x14ac:dyDescent="0.35">
      <c r="E704" s="94">
        <v>-0.17</v>
      </c>
      <c r="F704">
        <f t="shared" si="22"/>
        <v>0</v>
      </c>
      <c r="G704" s="74">
        <f t="shared" si="21"/>
        <v>0</v>
      </c>
    </row>
    <row r="705" spans="5:7" x14ac:dyDescent="0.35">
      <c r="E705" s="94">
        <v>-0.17</v>
      </c>
      <c r="F705">
        <f t="shared" si="22"/>
        <v>0</v>
      </c>
      <c r="G705" s="74">
        <f t="shared" si="21"/>
        <v>0</v>
      </c>
    </row>
    <row r="706" spans="5:7" x14ac:dyDescent="0.35">
      <c r="E706" s="94">
        <v>-0.13</v>
      </c>
      <c r="F706">
        <f t="shared" si="22"/>
        <v>0</v>
      </c>
      <c r="G706" s="74">
        <f t="shared" si="21"/>
        <v>0</v>
      </c>
    </row>
    <row r="707" spans="5:7" x14ac:dyDescent="0.35">
      <c r="E707" s="94">
        <v>-0.17</v>
      </c>
      <c r="F707">
        <f t="shared" si="22"/>
        <v>0</v>
      </c>
      <c r="G707" s="74">
        <f t="shared" si="21"/>
        <v>0</v>
      </c>
    </row>
    <row r="708" spans="5:7" x14ac:dyDescent="0.35">
      <c r="E708" s="94">
        <v>-0.17</v>
      </c>
      <c r="F708">
        <f t="shared" si="22"/>
        <v>0</v>
      </c>
      <c r="G708" s="74">
        <f t="shared" si="21"/>
        <v>0</v>
      </c>
    </row>
    <row r="709" spans="5:7" x14ac:dyDescent="0.35">
      <c r="E709" s="94">
        <v>-0.17</v>
      </c>
      <c r="F709">
        <f t="shared" si="22"/>
        <v>0</v>
      </c>
      <c r="G709" s="74">
        <f t="shared" si="21"/>
        <v>0</v>
      </c>
    </row>
    <row r="710" spans="5:7" x14ac:dyDescent="0.35">
      <c r="E710" s="94">
        <v>-0.17</v>
      </c>
      <c r="F710">
        <f t="shared" si="22"/>
        <v>0</v>
      </c>
      <c r="G710" s="74">
        <f t="shared" si="21"/>
        <v>0</v>
      </c>
    </row>
    <row r="711" spans="5:7" x14ac:dyDescent="0.35">
      <c r="E711" s="94">
        <v>-0.17</v>
      </c>
      <c r="F711">
        <f t="shared" si="22"/>
        <v>0</v>
      </c>
      <c r="G711" s="74">
        <f t="shared" si="21"/>
        <v>0</v>
      </c>
    </row>
    <row r="712" spans="5:7" x14ac:dyDescent="0.35">
      <c r="E712" s="94">
        <v>-0.13</v>
      </c>
      <c r="F712">
        <f t="shared" si="22"/>
        <v>0</v>
      </c>
      <c r="G712" s="74">
        <f t="shared" si="21"/>
        <v>0</v>
      </c>
    </row>
    <row r="713" spans="5:7" x14ac:dyDescent="0.35">
      <c r="E713" s="94">
        <v>-0.13</v>
      </c>
      <c r="F713">
        <f t="shared" si="22"/>
        <v>0</v>
      </c>
      <c r="G713" s="74">
        <f t="shared" si="21"/>
        <v>0</v>
      </c>
    </row>
    <row r="714" spans="5:7" x14ac:dyDescent="0.35">
      <c r="E714" s="94">
        <v>-0.17</v>
      </c>
      <c r="F714">
        <f t="shared" si="22"/>
        <v>0</v>
      </c>
      <c r="G714" s="74">
        <f t="shared" si="21"/>
        <v>0</v>
      </c>
    </row>
    <row r="715" spans="5:7" x14ac:dyDescent="0.35">
      <c r="E715" s="94">
        <v>-0.17</v>
      </c>
      <c r="F715">
        <f t="shared" si="22"/>
        <v>0</v>
      </c>
      <c r="G715" s="74">
        <f t="shared" si="21"/>
        <v>0</v>
      </c>
    </row>
    <row r="716" spans="5:7" x14ac:dyDescent="0.35">
      <c r="E716" s="94">
        <v>-0.17</v>
      </c>
      <c r="F716">
        <f t="shared" si="22"/>
        <v>0</v>
      </c>
      <c r="G716" s="74">
        <f t="shared" si="21"/>
        <v>0</v>
      </c>
    </row>
    <row r="717" spans="5:7" x14ac:dyDescent="0.35">
      <c r="E717" s="94">
        <v>-0.13</v>
      </c>
      <c r="F717">
        <f t="shared" si="22"/>
        <v>0</v>
      </c>
      <c r="G717" s="74">
        <f t="shared" si="21"/>
        <v>0</v>
      </c>
    </row>
    <row r="718" spans="5:7" x14ac:dyDescent="0.35">
      <c r="E718" s="94">
        <v>-0.17</v>
      </c>
      <c r="F718">
        <f t="shared" si="22"/>
        <v>0</v>
      </c>
      <c r="G718" s="74">
        <f t="shared" si="21"/>
        <v>0</v>
      </c>
    </row>
    <row r="719" spans="5:7" x14ac:dyDescent="0.35">
      <c r="E719" s="94">
        <v>-0.13</v>
      </c>
      <c r="F719">
        <f t="shared" si="22"/>
        <v>0</v>
      </c>
      <c r="G719" s="74">
        <f t="shared" si="21"/>
        <v>0</v>
      </c>
    </row>
    <row r="720" spans="5:7" x14ac:dyDescent="0.35">
      <c r="E720" s="94">
        <v>-0.17</v>
      </c>
      <c r="F720">
        <f t="shared" si="22"/>
        <v>0</v>
      </c>
      <c r="G720" s="74">
        <f t="shared" si="21"/>
        <v>0</v>
      </c>
    </row>
    <row r="721" spans="5:7" x14ac:dyDescent="0.35">
      <c r="E721" s="94">
        <v>-0.17</v>
      </c>
      <c r="F721">
        <f t="shared" si="22"/>
        <v>0</v>
      </c>
      <c r="G721" s="74">
        <f t="shared" si="21"/>
        <v>0</v>
      </c>
    </row>
    <row r="722" spans="5:7" x14ac:dyDescent="0.35">
      <c r="E722" s="94">
        <v>-0.17</v>
      </c>
      <c r="F722">
        <f t="shared" si="22"/>
        <v>0</v>
      </c>
      <c r="G722" s="74">
        <f t="shared" si="21"/>
        <v>0</v>
      </c>
    </row>
    <row r="723" spans="5:7" x14ac:dyDescent="0.35">
      <c r="E723" s="94">
        <v>-0.17</v>
      </c>
      <c r="F723">
        <f t="shared" si="22"/>
        <v>0</v>
      </c>
      <c r="G723" s="74">
        <f t="shared" si="21"/>
        <v>0</v>
      </c>
    </row>
    <row r="724" spans="5:7" x14ac:dyDescent="0.35">
      <c r="E724" s="94">
        <v>-0.17</v>
      </c>
      <c r="F724">
        <f t="shared" si="22"/>
        <v>0</v>
      </c>
      <c r="G724" s="74">
        <f t="shared" si="21"/>
        <v>0</v>
      </c>
    </row>
    <row r="725" spans="5:7" x14ac:dyDescent="0.35">
      <c r="E725" s="94">
        <v>-0.17</v>
      </c>
      <c r="F725">
        <f t="shared" si="22"/>
        <v>0</v>
      </c>
      <c r="G725" s="74">
        <f t="shared" si="21"/>
        <v>0</v>
      </c>
    </row>
    <row r="726" spans="5:7" x14ac:dyDescent="0.35">
      <c r="E726" s="94">
        <v>-0.17</v>
      </c>
      <c r="F726">
        <f t="shared" si="22"/>
        <v>0</v>
      </c>
      <c r="G726" s="74">
        <f t="shared" si="21"/>
        <v>0</v>
      </c>
    </row>
    <row r="727" spans="5:7" x14ac:dyDescent="0.35">
      <c r="E727" s="94">
        <v>-0.17</v>
      </c>
      <c r="F727">
        <f t="shared" si="22"/>
        <v>0</v>
      </c>
      <c r="G727" s="74">
        <f t="shared" si="21"/>
        <v>0</v>
      </c>
    </row>
    <row r="728" spans="5:7" x14ac:dyDescent="0.35">
      <c r="E728" s="94">
        <v>-0.17</v>
      </c>
      <c r="F728">
        <f t="shared" si="22"/>
        <v>0</v>
      </c>
      <c r="G728" s="74">
        <f t="shared" si="21"/>
        <v>0</v>
      </c>
    </row>
    <row r="729" spans="5:7" x14ac:dyDescent="0.35">
      <c r="E729" s="94">
        <v>-0.17</v>
      </c>
      <c r="F729">
        <f t="shared" si="22"/>
        <v>0</v>
      </c>
      <c r="G729" s="74">
        <f t="shared" si="21"/>
        <v>0</v>
      </c>
    </row>
    <row r="730" spans="5:7" x14ac:dyDescent="0.35">
      <c r="E730" s="94">
        <v>-0.17</v>
      </c>
      <c r="F730">
        <f t="shared" si="22"/>
        <v>0</v>
      </c>
      <c r="G730" s="74">
        <f t="shared" si="21"/>
        <v>0</v>
      </c>
    </row>
    <row r="731" spans="5:7" x14ac:dyDescent="0.35">
      <c r="E731" s="94">
        <v>-0.22</v>
      </c>
      <c r="F731">
        <f t="shared" si="22"/>
        <v>0</v>
      </c>
      <c r="G731" s="74">
        <f t="shared" si="21"/>
        <v>0</v>
      </c>
    </row>
    <row r="732" spans="5:7" x14ac:dyDescent="0.35">
      <c r="E732" s="94">
        <v>-0.22</v>
      </c>
      <c r="F732">
        <f t="shared" si="22"/>
        <v>0</v>
      </c>
      <c r="G732" s="74">
        <f t="shared" ref="G732:G795" si="23">F732*EXP($C$15*(C$16-25))</f>
        <v>0</v>
      </c>
    </row>
    <row r="733" spans="5:7" x14ac:dyDescent="0.35">
      <c r="E733" s="94">
        <v>-0.17</v>
      </c>
      <c r="F733">
        <f t="shared" si="22"/>
        <v>0</v>
      </c>
      <c r="G733" s="74">
        <f t="shared" si="23"/>
        <v>0</v>
      </c>
    </row>
    <row r="734" spans="5:7" x14ac:dyDescent="0.35">
      <c r="E734" s="94">
        <v>-0.17</v>
      </c>
      <c r="F734">
        <f t="shared" si="22"/>
        <v>0</v>
      </c>
      <c r="G734" s="74">
        <f t="shared" si="23"/>
        <v>0</v>
      </c>
    </row>
    <row r="735" spans="5:7" x14ac:dyDescent="0.35">
      <c r="E735" s="94">
        <v>-0.17</v>
      </c>
      <c r="F735">
        <f t="shared" si="22"/>
        <v>0</v>
      </c>
      <c r="G735" s="74">
        <f t="shared" si="23"/>
        <v>0</v>
      </c>
    </row>
    <row r="736" spans="5:7" x14ac:dyDescent="0.35">
      <c r="E736" s="94">
        <v>-0.17</v>
      </c>
      <c r="F736">
        <f t="shared" si="22"/>
        <v>0</v>
      </c>
      <c r="G736" s="74">
        <f t="shared" si="23"/>
        <v>0</v>
      </c>
    </row>
    <row r="737" spans="5:7" x14ac:dyDescent="0.35">
      <c r="E737" s="94">
        <v>-0.17</v>
      </c>
      <c r="F737">
        <f t="shared" si="22"/>
        <v>0</v>
      </c>
      <c r="G737" s="74">
        <f t="shared" si="23"/>
        <v>0</v>
      </c>
    </row>
    <row r="738" spans="5:7" x14ac:dyDescent="0.35">
      <c r="E738" s="94">
        <v>-0.17</v>
      </c>
      <c r="F738">
        <f t="shared" si="22"/>
        <v>0</v>
      </c>
      <c r="G738" s="74">
        <f t="shared" si="23"/>
        <v>0</v>
      </c>
    </row>
    <row r="739" spans="5:7" x14ac:dyDescent="0.35">
      <c r="E739" s="94">
        <v>-0.17</v>
      </c>
      <c r="F739">
        <f t="shared" si="22"/>
        <v>0</v>
      </c>
      <c r="G739" s="74">
        <f t="shared" si="23"/>
        <v>0</v>
      </c>
    </row>
    <row r="740" spans="5:7" x14ac:dyDescent="0.35">
      <c r="E740" s="94">
        <v>-0.17</v>
      </c>
      <c r="F740">
        <f t="shared" si="22"/>
        <v>0</v>
      </c>
      <c r="G740" s="74">
        <f t="shared" si="23"/>
        <v>0</v>
      </c>
    </row>
    <row r="741" spans="5:7" x14ac:dyDescent="0.35">
      <c r="E741" s="94">
        <v>-0.17</v>
      </c>
      <c r="F741">
        <f t="shared" si="22"/>
        <v>0</v>
      </c>
      <c r="G741" s="74">
        <f t="shared" si="23"/>
        <v>0</v>
      </c>
    </row>
    <row r="742" spans="5:7" x14ac:dyDescent="0.35">
      <c r="E742" s="94">
        <v>-0.17</v>
      </c>
      <c r="F742">
        <f t="shared" si="22"/>
        <v>0</v>
      </c>
      <c r="G742" s="74">
        <f t="shared" si="23"/>
        <v>0</v>
      </c>
    </row>
    <row r="743" spans="5:7" x14ac:dyDescent="0.35">
      <c r="E743" s="94">
        <v>-0.17</v>
      </c>
      <c r="F743">
        <f t="shared" si="22"/>
        <v>0</v>
      </c>
      <c r="G743" s="74">
        <f t="shared" si="23"/>
        <v>0</v>
      </c>
    </row>
    <row r="744" spans="5:7" x14ac:dyDescent="0.35">
      <c r="E744" s="94">
        <v>-0.17</v>
      </c>
      <c r="F744">
        <f t="shared" si="22"/>
        <v>0</v>
      </c>
      <c r="G744" s="74">
        <f t="shared" si="23"/>
        <v>0</v>
      </c>
    </row>
    <row r="745" spans="5:7" x14ac:dyDescent="0.35">
      <c r="E745" s="94">
        <v>-0.17</v>
      </c>
      <c r="F745">
        <f t="shared" si="22"/>
        <v>0</v>
      </c>
      <c r="G745" s="74">
        <f t="shared" si="23"/>
        <v>0</v>
      </c>
    </row>
    <row r="746" spans="5:7" x14ac:dyDescent="0.35">
      <c r="E746" s="94">
        <v>-0.17</v>
      </c>
      <c r="F746">
        <f t="shared" si="22"/>
        <v>0</v>
      </c>
      <c r="G746" s="74">
        <f t="shared" si="23"/>
        <v>0</v>
      </c>
    </row>
    <row r="747" spans="5:7" x14ac:dyDescent="0.35">
      <c r="E747" s="94">
        <v>-0.17</v>
      </c>
      <c r="F747">
        <f t="shared" si="22"/>
        <v>0</v>
      </c>
      <c r="G747" s="74">
        <f t="shared" si="23"/>
        <v>0</v>
      </c>
    </row>
    <row r="748" spans="5:7" x14ac:dyDescent="0.35">
      <c r="E748" s="94">
        <v>-0.17</v>
      </c>
      <c r="F748">
        <f t="shared" si="22"/>
        <v>0</v>
      </c>
      <c r="G748" s="74">
        <f t="shared" si="23"/>
        <v>0</v>
      </c>
    </row>
    <row r="749" spans="5:7" x14ac:dyDescent="0.35">
      <c r="E749" s="94">
        <v>-0.17</v>
      </c>
      <c r="F749">
        <f t="shared" si="22"/>
        <v>0</v>
      </c>
      <c r="G749" s="74">
        <f t="shared" si="23"/>
        <v>0</v>
      </c>
    </row>
    <row r="750" spans="5:7" x14ac:dyDescent="0.35">
      <c r="E750" s="94">
        <v>-0.17</v>
      </c>
      <c r="F750">
        <f t="shared" si="22"/>
        <v>0</v>
      </c>
      <c r="G750" s="74">
        <f t="shared" si="23"/>
        <v>0</v>
      </c>
    </row>
    <row r="751" spans="5:7" x14ac:dyDescent="0.35">
      <c r="E751" s="94">
        <v>-0.17</v>
      </c>
      <c r="F751">
        <f t="shared" si="22"/>
        <v>0</v>
      </c>
      <c r="G751" s="74">
        <f t="shared" si="23"/>
        <v>0</v>
      </c>
    </row>
    <row r="752" spans="5:7" x14ac:dyDescent="0.35">
      <c r="E752" s="94">
        <v>-0.17</v>
      </c>
      <c r="F752">
        <f t="shared" si="22"/>
        <v>0</v>
      </c>
      <c r="G752" s="74">
        <f t="shared" si="23"/>
        <v>0</v>
      </c>
    </row>
    <row r="753" spans="5:7" x14ac:dyDescent="0.35">
      <c r="E753" s="94">
        <v>-0.17</v>
      </c>
      <c r="F753">
        <f t="shared" si="22"/>
        <v>0</v>
      </c>
      <c r="G753" s="74">
        <f t="shared" si="23"/>
        <v>0</v>
      </c>
    </row>
    <row r="754" spans="5:7" x14ac:dyDescent="0.35">
      <c r="E754" s="94">
        <v>-0.17</v>
      </c>
      <c r="F754">
        <f t="shared" si="22"/>
        <v>0</v>
      </c>
      <c r="G754" s="74">
        <f t="shared" si="23"/>
        <v>0</v>
      </c>
    </row>
    <row r="755" spans="5:7" x14ac:dyDescent="0.35">
      <c r="E755" s="94">
        <v>-0.17</v>
      </c>
      <c r="F755">
        <f t="shared" si="22"/>
        <v>0</v>
      </c>
      <c r="G755" s="74">
        <f t="shared" si="23"/>
        <v>0</v>
      </c>
    </row>
    <row r="756" spans="5:7" x14ac:dyDescent="0.35">
      <c r="E756" s="94">
        <v>-0.17</v>
      </c>
      <c r="F756">
        <f t="shared" si="22"/>
        <v>0</v>
      </c>
      <c r="G756" s="74">
        <f t="shared" si="23"/>
        <v>0</v>
      </c>
    </row>
    <row r="757" spans="5:7" x14ac:dyDescent="0.35">
      <c r="E757" s="94">
        <v>-0.17</v>
      </c>
      <c r="F757">
        <f t="shared" si="22"/>
        <v>0</v>
      </c>
      <c r="G757" s="74">
        <f t="shared" si="23"/>
        <v>0</v>
      </c>
    </row>
    <row r="758" spans="5:7" x14ac:dyDescent="0.35">
      <c r="E758" s="94">
        <v>-0.17</v>
      </c>
      <c r="F758">
        <f t="shared" si="22"/>
        <v>0</v>
      </c>
      <c r="G758" s="74">
        <f t="shared" si="23"/>
        <v>0</v>
      </c>
    </row>
    <row r="759" spans="5:7" x14ac:dyDescent="0.35">
      <c r="E759" s="94">
        <v>-0.13</v>
      </c>
      <c r="F759">
        <f t="shared" si="22"/>
        <v>0</v>
      </c>
      <c r="G759" s="74">
        <f t="shared" si="23"/>
        <v>0</v>
      </c>
    </row>
    <row r="760" spans="5:7" x14ac:dyDescent="0.35">
      <c r="E760" s="94">
        <v>-0.17</v>
      </c>
      <c r="F760">
        <f t="shared" si="22"/>
        <v>0</v>
      </c>
      <c r="G760" s="74">
        <f t="shared" si="23"/>
        <v>0</v>
      </c>
    </row>
    <row r="761" spans="5:7" x14ac:dyDescent="0.35">
      <c r="E761" s="94">
        <v>-0.13</v>
      </c>
      <c r="F761">
        <f t="shared" si="22"/>
        <v>0</v>
      </c>
      <c r="G761" s="74">
        <f t="shared" si="23"/>
        <v>0</v>
      </c>
    </row>
    <row r="762" spans="5:7" x14ac:dyDescent="0.35">
      <c r="E762" s="94">
        <v>-0.17</v>
      </c>
      <c r="F762">
        <f t="shared" si="22"/>
        <v>0</v>
      </c>
      <c r="G762" s="74">
        <f t="shared" si="23"/>
        <v>0</v>
      </c>
    </row>
    <row r="763" spans="5:7" x14ac:dyDescent="0.35">
      <c r="E763" s="94">
        <v>-0.17</v>
      </c>
      <c r="F763">
        <f t="shared" si="22"/>
        <v>0</v>
      </c>
      <c r="G763" s="74">
        <f t="shared" si="23"/>
        <v>0</v>
      </c>
    </row>
    <row r="764" spans="5:7" x14ac:dyDescent="0.35">
      <c r="E764" s="94">
        <v>-0.22</v>
      </c>
      <c r="F764">
        <f t="shared" si="22"/>
        <v>0</v>
      </c>
      <c r="G764" s="74">
        <f t="shared" si="23"/>
        <v>0</v>
      </c>
    </row>
    <row r="765" spans="5:7" x14ac:dyDescent="0.35">
      <c r="E765" s="94">
        <v>-0.22</v>
      </c>
      <c r="F765">
        <f t="shared" si="22"/>
        <v>0</v>
      </c>
      <c r="G765" s="74">
        <f t="shared" si="23"/>
        <v>0</v>
      </c>
    </row>
    <row r="766" spans="5:7" x14ac:dyDescent="0.35">
      <c r="E766" s="94">
        <v>-0.17</v>
      </c>
      <c r="F766">
        <f t="shared" si="22"/>
        <v>0</v>
      </c>
      <c r="G766" s="74">
        <f t="shared" si="23"/>
        <v>0</v>
      </c>
    </row>
    <row r="767" spans="5:7" x14ac:dyDescent="0.35">
      <c r="E767" s="94">
        <v>-0.17</v>
      </c>
      <c r="F767">
        <f t="shared" ref="F767:F798" si="24">IF(E767&gt;0,E767,0)</f>
        <v>0</v>
      </c>
      <c r="G767" s="74">
        <f t="shared" si="23"/>
        <v>0</v>
      </c>
    </row>
    <row r="768" spans="5:7" x14ac:dyDescent="0.35">
      <c r="E768" s="94">
        <v>-0.17</v>
      </c>
      <c r="F768">
        <f t="shared" si="24"/>
        <v>0</v>
      </c>
      <c r="G768" s="74">
        <f t="shared" si="23"/>
        <v>0</v>
      </c>
    </row>
    <row r="769" spans="5:7" x14ac:dyDescent="0.35">
      <c r="E769" s="94">
        <v>-0.17</v>
      </c>
      <c r="F769">
        <f t="shared" si="24"/>
        <v>0</v>
      </c>
      <c r="G769" s="74">
        <f t="shared" si="23"/>
        <v>0</v>
      </c>
    </row>
    <row r="770" spans="5:7" x14ac:dyDescent="0.35">
      <c r="E770" s="94">
        <v>-0.22</v>
      </c>
      <c r="F770">
        <f t="shared" si="24"/>
        <v>0</v>
      </c>
      <c r="G770" s="74">
        <f t="shared" si="23"/>
        <v>0</v>
      </c>
    </row>
    <row r="771" spans="5:7" x14ac:dyDescent="0.35">
      <c r="E771" s="94">
        <v>-0.17</v>
      </c>
      <c r="F771">
        <f t="shared" si="24"/>
        <v>0</v>
      </c>
      <c r="G771" s="74">
        <f t="shared" si="23"/>
        <v>0</v>
      </c>
    </row>
    <row r="772" spans="5:7" x14ac:dyDescent="0.35">
      <c r="E772" s="94">
        <v>-0.17</v>
      </c>
      <c r="F772">
        <f t="shared" si="24"/>
        <v>0</v>
      </c>
      <c r="G772" s="74">
        <f t="shared" si="23"/>
        <v>0</v>
      </c>
    </row>
    <row r="773" spans="5:7" x14ac:dyDescent="0.35">
      <c r="E773" s="94">
        <v>-0.17</v>
      </c>
      <c r="F773">
        <f t="shared" si="24"/>
        <v>0</v>
      </c>
      <c r="G773" s="74">
        <f t="shared" si="23"/>
        <v>0</v>
      </c>
    </row>
    <row r="774" spans="5:7" x14ac:dyDescent="0.35">
      <c r="E774" s="94">
        <v>-0.17</v>
      </c>
      <c r="F774">
        <f t="shared" si="24"/>
        <v>0</v>
      </c>
      <c r="G774" s="74">
        <f t="shared" si="23"/>
        <v>0</v>
      </c>
    </row>
    <row r="775" spans="5:7" x14ac:dyDescent="0.35">
      <c r="E775" s="94">
        <v>-0.17</v>
      </c>
      <c r="F775">
        <f t="shared" si="24"/>
        <v>0</v>
      </c>
      <c r="G775" s="74">
        <f t="shared" si="23"/>
        <v>0</v>
      </c>
    </row>
    <row r="776" spans="5:7" x14ac:dyDescent="0.35">
      <c r="E776" s="94">
        <v>-0.17</v>
      </c>
      <c r="F776">
        <f t="shared" si="24"/>
        <v>0</v>
      </c>
      <c r="G776" s="74">
        <f t="shared" si="23"/>
        <v>0</v>
      </c>
    </row>
    <row r="777" spans="5:7" x14ac:dyDescent="0.35">
      <c r="E777" s="94">
        <v>-0.17</v>
      </c>
      <c r="F777">
        <f t="shared" si="24"/>
        <v>0</v>
      </c>
      <c r="G777" s="74">
        <f t="shared" si="23"/>
        <v>0</v>
      </c>
    </row>
    <row r="778" spans="5:7" x14ac:dyDescent="0.35">
      <c r="E778" s="94">
        <v>-0.17</v>
      </c>
      <c r="F778">
        <f t="shared" si="24"/>
        <v>0</v>
      </c>
      <c r="G778" s="74">
        <f t="shared" si="23"/>
        <v>0</v>
      </c>
    </row>
    <row r="779" spans="5:7" x14ac:dyDescent="0.35">
      <c r="E779" s="94">
        <v>-0.17</v>
      </c>
      <c r="F779">
        <f t="shared" si="24"/>
        <v>0</v>
      </c>
      <c r="G779" s="74">
        <f t="shared" si="23"/>
        <v>0</v>
      </c>
    </row>
    <row r="780" spans="5:7" x14ac:dyDescent="0.35">
      <c r="E780" s="94">
        <v>-0.17</v>
      </c>
      <c r="F780">
        <f t="shared" si="24"/>
        <v>0</v>
      </c>
      <c r="G780" s="74">
        <f t="shared" si="23"/>
        <v>0</v>
      </c>
    </row>
    <row r="781" spans="5:7" x14ac:dyDescent="0.35">
      <c r="E781" s="94">
        <v>-0.17</v>
      </c>
      <c r="F781">
        <f t="shared" si="24"/>
        <v>0</v>
      </c>
      <c r="G781" s="74">
        <f t="shared" si="23"/>
        <v>0</v>
      </c>
    </row>
    <row r="782" spans="5:7" x14ac:dyDescent="0.35">
      <c r="E782" s="94">
        <v>-0.17</v>
      </c>
      <c r="F782">
        <f t="shared" si="24"/>
        <v>0</v>
      </c>
      <c r="G782" s="74">
        <f t="shared" si="23"/>
        <v>0</v>
      </c>
    </row>
    <row r="783" spans="5:7" x14ac:dyDescent="0.35">
      <c r="E783" s="94">
        <v>-0.17</v>
      </c>
      <c r="F783">
        <f t="shared" si="24"/>
        <v>0</v>
      </c>
      <c r="G783" s="74">
        <f t="shared" si="23"/>
        <v>0</v>
      </c>
    </row>
    <row r="784" spans="5:7" x14ac:dyDescent="0.35">
      <c r="E784" s="94">
        <v>-0.13</v>
      </c>
      <c r="F784">
        <f t="shared" si="24"/>
        <v>0</v>
      </c>
      <c r="G784" s="74">
        <f t="shared" si="23"/>
        <v>0</v>
      </c>
    </row>
    <row r="785" spans="5:7" x14ac:dyDescent="0.35">
      <c r="E785" s="94">
        <v>-0.17</v>
      </c>
      <c r="F785">
        <f t="shared" si="24"/>
        <v>0</v>
      </c>
      <c r="G785" s="74">
        <f t="shared" si="23"/>
        <v>0</v>
      </c>
    </row>
    <row r="786" spans="5:7" x14ac:dyDescent="0.35">
      <c r="E786" s="94">
        <v>-0.17</v>
      </c>
      <c r="F786">
        <f t="shared" si="24"/>
        <v>0</v>
      </c>
      <c r="G786" s="74">
        <f t="shared" si="23"/>
        <v>0</v>
      </c>
    </row>
    <row r="787" spans="5:7" x14ac:dyDescent="0.35">
      <c r="E787" s="94">
        <v>-0.13</v>
      </c>
      <c r="F787">
        <f t="shared" si="24"/>
        <v>0</v>
      </c>
      <c r="G787" s="74">
        <f t="shared" si="23"/>
        <v>0</v>
      </c>
    </row>
    <row r="788" spans="5:7" x14ac:dyDescent="0.35">
      <c r="E788" s="94">
        <v>-0.17</v>
      </c>
      <c r="F788">
        <f t="shared" si="24"/>
        <v>0</v>
      </c>
      <c r="G788" s="74">
        <f t="shared" si="23"/>
        <v>0</v>
      </c>
    </row>
    <row r="789" spans="5:7" x14ac:dyDescent="0.35">
      <c r="E789" s="94">
        <v>-0.17</v>
      </c>
      <c r="F789">
        <f t="shared" si="24"/>
        <v>0</v>
      </c>
      <c r="G789" s="74">
        <f t="shared" si="23"/>
        <v>0</v>
      </c>
    </row>
    <row r="790" spans="5:7" x14ac:dyDescent="0.35">
      <c r="E790" s="94">
        <v>-0.17</v>
      </c>
      <c r="F790">
        <f t="shared" si="24"/>
        <v>0</v>
      </c>
      <c r="G790" s="74">
        <f t="shared" si="23"/>
        <v>0</v>
      </c>
    </row>
    <row r="791" spans="5:7" x14ac:dyDescent="0.35">
      <c r="E791" s="94">
        <v>-0.17</v>
      </c>
      <c r="F791">
        <f t="shared" si="24"/>
        <v>0</v>
      </c>
      <c r="G791" s="74">
        <f t="shared" si="23"/>
        <v>0</v>
      </c>
    </row>
    <row r="792" spans="5:7" x14ac:dyDescent="0.35">
      <c r="E792" s="94">
        <v>-0.17</v>
      </c>
      <c r="F792">
        <f t="shared" si="24"/>
        <v>0</v>
      </c>
      <c r="G792" s="74">
        <f t="shared" si="23"/>
        <v>0</v>
      </c>
    </row>
    <row r="793" spans="5:7" x14ac:dyDescent="0.35">
      <c r="E793" s="94">
        <v>-0.17</v>
      </c>
      <c r="F793">
        <f t="shared" si="24"/>
        <v>0</v>
      </c>
      <c r="G793" s="74">
        <f t="shared" si="23"/>
        <v>0</v>
      </c>
    </row>
    <row r="794" spans="5:7" x14ac:dyDescent="0.35">
      <c r="E794" s="94">
        <v>-0.17</v>
      </c>
      <c r="F794">
        <f t="shared" si="24"/>
        <v>0</v>
      </c>
      <c r="G794" s="74">
        <f t="shared" si="23"/>
        <v>0</v>
      </c>
    </row>
    <row r="795" spans="5:7" x14ac:dyDescent="0.35">
      <c r="E795" s="94">
        <v>-0.17</v>
      </c>
      <c r="F795">
        <f t="shared" si="24"/>
        <v>0</v>
      </c>
      <c r="G795" s="74">
        <f t="shared" si="23"/>
        <v>0</v>
      </c>
    </row>
    <row r="796" spans="5:7" x14ac:dyDescent="0.35">
      <c r="E796" s="94">
        <v>-0.17</v>
      </c>
      <c r="F796">
        <f t="shared" si="24"/>
        <v>0</v>
      </c>
      <c r="G796" s="74">
        <f t="shared" ref="G796:G859" si="25">F796*EXP($C$15*(C$16-25))</f>
        <v>0</v>
      </c>
    </row>
    <row r="797" spans="5:7" x14ac:dyDescent="0.35">
      <c r="E797" s="94">
        <v>-0.17</v>
      </c>
      <c r="F797">
        <f t="shared" si="24"/>
        <v>0</v>
      </c>
      <c r="G797" s="74">
        <f t="shared" si="25"/>
        <v>0</v>
      </c>
    </row>
    <row r="798" spans="5:7" x14ac:dyDescent="0.35">
      <c r="E798" s="94">
        <v>-0.17</v>
      </c>
      <c r="F798">
        <f t="shared" si="24"/>
        <v>0</v>
      </c>
      <c r="G798" s="74">
        <f t="shared" si="25"/>
        <v>0</v>
      </c>
    </row>
    <row r="799" spans="5:7" x14ac:dyDescent="0.35">
      <c r="E799" s="94">
        <v>-0.17</v>
      </c>
      <c r="F799">
        <f t="shared" ref="F799:F830" si="26">IF(E799&gt;0,E799,0)</f>
        <v>0</v>
      </c>
      <c r="G799" s="74">
        <f t="shared" si="25"/>
        <v>0</v>
      </c>
    </row>
    <row r="800" spans="5:7" x14ac:dyDescent="0.35">
      <c r="E800" s="94">
        <v>-0.17</v>
      </c>
      <c r="F800">
        <f t="shared" si="26"/>
        <v>0</v>
      </c>
      <c r="G800" s="74">
        <f t="shared" si="25"/>
        <v>0</v>
      </c>
    </row>
    <row r="801" spans="5:7" x14ac:dyDescent="0.35">
      <c r="E801" s="94">
        <v>-0.17</v>
      </c>
      <c r="F801">
        <f t="shared" si="26"/>
        <v>0</v>
      </c>
      <c r="G801" s="74">
        <f t="shared" si="25"/>
        <v>0</v>
      </c>
    </row>
    <row r="802" spans="5:7" x14ac:dyDescent="0.35">
      <c r="E802" s="94">
        <v>-0.17</v>
      </c>
      <c r="F802">
        <f t="shared" si="26"/>
        <v>0</v>
      </c>
      <c r="G802" s="74">
        <f t="shared" si="25"/>
        <v>0</v>
      </c>
    </row>
    <row r="803" spans="5:7" x14ac:dyDescent="0.35">
      <c r="E803" s="94">
        <v>-0.17</v>
      </c>
      <c r="F803">
        <f t="shared" si="26"/>
        <v>0</v>
      </c>
      <c r="G803" s="74">
        <f t="shared" si="25"/>
        <v>0</v>
      </c>
    </row>
    <row r="804" spans="5:7" x14ac:dyDescent="0.35">
      <c r="E804" s="94">
        <v>-0.22</v>
      </c>
      <c r="F804">
        <f t="shared" si="26"/>
        <v>0</v>
      </c>
      <c r="G804" s="74">
        <f t="shared" si="25"/>
        <v>0</v>
      </c>
    </row>
    <row r="805" spans="5:7" x14ac:dyDescent="0.35">
      <c r="E805" s="94">
        <v>-0.17</v>
      </c>
      <c r="F805">
        <f t="shared" si="26"/>
        <v>0</v>
      </c>
      <c r="G805" s="74">
        <f t="shared" si="25"/>
        <v>0</v>
      </c>
    </row>
    <row r="806" spans="5:7" x14ac:dyDescent="0.35">
      <c r="E806" s="94">
        <v>-0.22</v>
      </c>
      <c r="F806">
        <f t="shared" si="26"/>
        <v>0</v>
      </c>
      <c r="G806" s="74">
        <f t="shared" si="25"/>
        <v>0</v>
      </c>
    </row>
    <row r="807" spans="5:7" x14ac:dyDescent="0.35">
      <c r="E807" s="94">
        <v>-0.17</v>
      </c>
      <c r="F807">
        <f t="shared" si="26"/>
        <v>0</v>
      </c>
      <c r="G807" s="74">
        <f t="shared" si="25"/>
        <v>0</v>
      </c>
    </row>
    <row r="808" spans="5:7" x14ac:dyDescent="0.35">
      <c r="E808" s="94">
        <v>-0.17</v>
      </c>
      <c r="F808">
        <f t="shared" si="26"/>
        <v>0</v>
      </c>
      <c r="G808" s="74">
        <f t="shared" si="25"/>
        <v>0</v>
      </c>
    </row>
    <row r="809" spans="5:7" x14ac:dyDescent="0.35">
      <c r="E809" s="94">
        <v>-0.17</v>
      </c>
      <c r="F809">
        <f t="shared" si="26"/>
        <v>0</v>
      </c>
      <c r="G809" s="74">
        <f t="shared" si="25"/>
        <v>0</v>
      </c>
    </row>
    <row r="810" spans="5:7" x14ac:dyDescent="0.35">
      <c r="E810" s="94">
        <v>-0.17</v>
      </c>
      <c r="F810">
        <f t="shared" si="26"/>
        <v>0</v>
      </c>
      <c r="G810" s="74">
        <f t="shared" si="25"/>
        <v>0</v>
      </c>
    </row>
    <row r="811" spans="5:7" x14ac:dyDescent="0.35">
      <c r="E811" s="94">
        <v>-0.17</v>
      </c>
      <c r="F811">
        <f t="shared" si="26"/>
        <v>0</v>
      </c>
      <c r="G811" s="74">
        <f t="shared" si="25"/>
        <v>0</v>
      </c>
    </row>
    <row r="812" spans="5:7" x14ac:dyDescent="0.35">
      <c r="E812" s="94">
        <v>-0.17</v>
      </c>
      <c r="F812">
        <f t="shared" si="26"/>
        <v>0</v>
      </c>
      <c r="G812" s="74">
        <f t="shared" si="25"/>
        <v>0</v>
      </c>
    </row>
    <row r="813" spans="5:7" x14ac:dyDescent="0.35">
      <c r="E813" s="94">
        <v>-0.17</v>
      </c>
      <c r="F813">
        <f t="shared" si="26"/>
        <v>0</v>
      </c>
      <c r="G813" s="74">
        <f t="shared" si="25"/>
        <v>0</v>
      </c>
    </row>
    <row r="814" spans="5:7" x14ac:dyDescent="0.35">
      <c r="E814" s="94">
        <v>-0.17</v>
      </c>
      <c r="F814">
        <f t="shared" si="26"/>
        <v>0</v>
      </c>
      <c r="G814" s="74">
        <f t="shared" si="25"/>
        <v>0</v>
      </c>
    </row>
    <row r="815" spans="5:7" x14ac:dyDescent="0.35">
      <c r="E815" s="94">
        <v>-0.17</v>
      </c>
      <c r="F815">
        <f t="shared" si="26"/>
        <v>0</v>
      </c>
      <c r="G815" s="74">
        <f t="shared" si="25"/>
        <v>0</v>
      </c>
    </row>
    <row r="816" spans="5:7" x14ac:dyDescent="0.35">
      <c r="E816" s="94">
        <v>-0.17</v>
      </c>
      <c r="F816">
        <f t="shared" si="26"/>
        <v>0</v>
      </c>
      <c r="G816" s="74">
        <f t="shared" si="25"/>
        <v>0</v>
      </c>
    </row>
    <row r="817" spans="5:7" x14ac:dyDescent="0.35">
      <c r="E817" s="94">
        <v>-0.17</v>
      </c>
      <c r="F817">
        <f t="shared" si="26"/>
        <v>0</v>
      </c>
      <c r="G817" s="74">
        <f t="shared" si="25"/>
        <v>0</v>
      </c>
    </row>
    <row r="818" spans="5:7" x14ac:dyDescent="0.35">
      <c r="E818" s="94">
        <v>-0.17</v>
      </c>
      <c r="F818">
        <f t="shared" si="26"/>
        <v>0</v>
      </c>
      <c r="G818" s="74">
        <f t="shared" si="25"/>
        <v>0</v>
      </c>
    </row>
    <row r="819" spans="5:7" x14ac:dyDescent="0.35">
      <c r="E819" s="94">
        <v>-0.17</v>
      </c>
      <c r="F819">
        <f t="shared" si="26"/>
        <v>0</v>
      </c>
      <c r="G819" s="74">
        <f t="shared" si="25"/>
        <v>0</v>
      </c>
    </row>
    <row r="820" spans="5:7" x14ac:dyDescent="0.35">
      <c r="E820" s="94">
        <v>-0.17</v>
      </c>
      <c r="F820">
        <f t="shared" si="26"/>
        <v>0</v>
      </c>
      <c r="G820" s="74">
        <f t="shared" si="25"/>
        <v>0</v>
      </c>
    </row>
    <row r="821" spans="5:7" x14ac:dyDescent="0.35">
      <c r="E821" s="94">
        <v>-0.22</v>
      </c>
      <c r="F821">
        <f t="shared" si="26"/>
        <v>0</v>
      </c>
      <c r="G821" s="74">
        <f t="shared" si="25"/>
        <v>0</v>
      </c>
    </row>
    <row r="822" spans="5:7" x14ac:dyDescent="0.35">
      <c r="E822" s="94">
        <v>-0.17</v>
      </c>
      <c r="F822">
        <f t="shared" si="26"/>
        <v>0</v>
      </c>
      <c r="G822" s="74">
        <f t="shared" si="25"/>
        <v>0</v>
      </c>
    </row>
    <row r="823" spans="5:7" x14ac:dyDescent="0.35">
      <c r="E823" s="94">
        <v>-0.17</v>
      </c>
      <c r="F823">
        <f t="shared" si="26"/>
        <v>0</v>
      </c>
      <c r="G823" s="74">
        <f t="shared" si="25"/>
        <v>0</v>
      </c>
    </row>
    <row r="824" spans="5:7" x14ac:dyDescent="0.35">
      <c r="E824" s="94">
        <v>-0.17</v>
      </c>
      <c r="F824">
        <f t="shared" si="26"/>
        <v>0</v>
      </c>
      <c r="G824" s="74">
        <f t="shared" si="25"/>
        <v>0</v>
      </c>
    </row>
    <row r="825" spans="5:7" x14ac:dyDescent="0.35">
      <c r="E825" s="94">
        <v>-0.17</v>
      </c>
      <c r="F825">
        <f t="shared" si="26"/>
        <v>0</v>
      </c>
      <c r="G825" s="74">
        <f t="shared" si="25"/>
        <v>0</v>
      </c>
    </row>
    <row r="826" spans="5:7" x14ac:dyDescent="0.35">
      <c r="E826" s="94">
        <v>-0.17</v>
      </c>
      <c r="F826">
        <f t="shared" si="26"/>
        <v>0</v>
      </c>
      <c r="G826" s="74">
        <f t="shared" si="25"/>
        <v>0</v>
      </c>
    </row>
    <row r="921" spans="7:7" x14ac:dyDescent="0.35">
      <c r="G921" s="74"/>
    </row>
    <row r="922" spans="7:7" x14ac:dyDescent="0.35">
      <c r="G922" s="74"/>
    </row>
    <row r="923" spans="7:7" x14ac:dyDescent="0.35">
      <c r="G923" s="74"/>
    </row>
    <row r="924" spans="7:7" x14ac:dyDescent="0.35">
      <c r="G924" s="74"/>
    </row>
    <row r="925" spans="7:7" x14ac:dyDescent="0.35">
      <c r="G925" s="74"/>
    </row>
    <row r="926" spans="7:7" x14ac:dyDescent="0.35">
      <c r="G926" s="74"/>
    </row>
    <row r="927" spans="7:7" x14ac:dyDescent="0.35">
      <c r="G927" s="74"/>
    </row>
    <row r="928" spans="7:7" x14ac:dyDescent="0.35">
      <c r="G928" s="74"/>
    </row>
    <row r="929" spans="7:7" x14ac:dyDescent="0.35">
      <c r="G929" s="74"/>
    </row>
    <row r="930" spans="7:7" x14ac:dyDescent="0.35">
      <c r="G930" s="74"/>
    </row>
    <row r="931" spans="7:7" x14ac:dyDescent="0.35">
      <c r="G931" s="74"/>
    </row>
    <row r="932" spans="7:7" x14ac:dyDescent="0.35">
      <c r="G932" s="74"/>
    </row>
    <row r="933" spans="7:7" x14ac:dyDescent="0.35">
      <c r="G933" s="74"/>
    </row>
    <row r="934" spans="7:7" x14ac:dyDescent="0.35">
      <c r="G934" s="74"/>
    </row>
    <row r="935" spans="7:7" x14ac:dyDescent="0.35">
      <c r="G935" s="74"/>
    </row>
    <row r="936" spans="7:7" x14ac:dyDescent="0.35">
      <c r="G936" s="74"/>
    </row>
    <row r="937" spans="7:7" x14ac:dyDescent="0.35">
      <c r="G937" s="74"/>
    </row>
    <row r="938" spans="7:7" x14ac:dyDescent="0.35">
      <c r="G938" s="74"/>
    </row>
    <row r="939" spans="7:7" x14ac:dyDescent="0.35">
      <c r="G939" s="74"/>
    </row>
    <row r="940" spans="7:7" x14ac:dyDescent="0.35">
      <c r="G940" s="74"/>
    </row>
    <row r="941" spans="7:7" x14ac:dyDescent="0.35">
      <c r="G941" s="74"/>
    </row>
    <row r="942" spans="7:7" x14ac:dyDescent="0.35">
      <c r="G942" s="74"/>
    </row>
    <row r="943" spans="7:7" x14ac:dyDescent="0.35">
      <c r="G943" s="74"/>
    </row>
    <row r="944" spans="7:7" x14ac:dyDescent="0.35">
      <c r="G944" s="74"/>
    </row>
    <row r="945" spans="7:7" x14ac:dyDescent="0.35">
      <c r="G945" s="74"/>
    </row>
    <row r="946" spans="7:7" x14ac:dyDescent="0.35">
      <c r="G946" s="74"/>
    </row>
    <row r="947" spans="7:7" x14ac:dyDescent="0.35">
      <c r="G947" s="74"/>
    </row>
    <row r="948" spans="7:7" x14ac:dyDescent="0.35">
      <c r="G948" s="74"/>
    </row>
    <row r="949" spans="7:7" x14ac:dyDescent="0.35">
      <c r="G949" s="74"/>
    </row>
    <row r="950" spans="7:7" x14ac:dyDescent="0.35">
      <c r="G950" s="74"/>
    </row>
    <row r="951" spans="7:7" x14ac:dyDescent="0.35">
      <c r="G951" s="74"/>
    </row>
    <row r="952" spans="7:7" x14ac:dyDescent="0.35">
      <c r="G952" s="74"/>
    </row>
    <row r="953" spans="7:7" x14ac:dyDescent="0.35">
      <c r="G953" s="74"/>
    </row>
    <row r="954" spans="7:7" x14ac:dyDescent="0.35">
      <c r="G954" s="74"/>
    </row>
    <row r="955" spans="7:7" x14ac:dyDescent="0.35">
      <c r="G955" s="74"/>
    </row>
    <row r="956" spans="7:7" x14ac:dyDescent="0.35">
      <c r="G956" s="74"/>
    </row>
    <row r="957" spans="7:7" x14ac:dyDescent="0.35">
      <c r="G957" s="74"/>
    </row>
    <row r="958" spans="7:7" x14ac:dyDescent="0.35">
      <c r="G958" s="74"/>
    </row>
    <row r="959" spans="7:7" x14ac:dyDescent="0.35">
      <c r="G959" s="74"/>
    </row>
    <row r="960" spans="7:7" x14ac:dyDescent="0.35">
      <c r="G960" s="74"/>
    </row>
    <row r="961" spans="7:7" x14ac:dyDescent="0.35">
      <c r="G961" s="74"/>
    </row>
    <row r="962" spans="7:7" x14ac:dyDescent="0.35">
      <c r="G962" s="74"/>
    </row>
    <row r="963" spans="7:7" x14ac:dyDescent="0.35">
      <c r="G963" s="74"/>
    </row>
    <row r="964" spans="7:7" x14ac:dyDescent="0.35">
      <c r="G964" s="74"/>
    </row>
    <row r="965" spans="7:7" x14ac:dyDescent="0.35">
      <c r="G965" s="74"/>
    </row>
    <row r="966" spans="7:7" x14ac:dyDescent="0.35">
      <c r="G966" s="74"/>
    </row>
    <row r="967" spans="7:7" x14ac:dyDescent="0.35">
      <c r="G967" s="74"/>
    </row>
    <row r="968" spans="7:7" x14ac:dyDescent="0.35">
      <c r="G968" s="74"/>
    </row>
    <row r="969" spans="7:7" x14ac:dyDescent="0.35">
      <c r="G969" s="74"/>
    </row>
    <row r="970" spans="7:7" x14ac:dyDescent="0.35">
      <c r="G970" s="74"/>
    </row>
    <row r="971" spans="7:7" x14ac:dyDescent="0.35">
      <c r="G971" s="74"/>
    </row>
    <row r="972" spans="7:7" x14ac:dyDescent="0.35">
      <c r="G972" s="74"/>
    </row>
    <row r="973" spans="7:7" x14ac:dyDescent="0.35">
      <c r="G973" s="74"/>
    </row>
    <row r="974" spans="7:7" x14ac:dyDescent="0.35">
      <c r="G974" s="74"/>
    </row>
    <row r="975" spans="7:7" x14ac:dyDescent="0.35">
      <c r="G975" s="74"/>
    </row>
    <row r="976" spans="7:7" x14ac:dyDescent="0.35">
      <c r="G976" s="74"/>
    </row>
    <row r="977" spans="7:7" x14ac:dyDescent="0.35">
      <c r="G977" s="74"/>
    </row>
    <row r="978" spans="7:7" x14ac:dyDescent="0.35">
      <c r="G978" s="74"/>
    </row>
    <row r="979" spans="7:7" x14ac:dyDescent="0.35">
      <c r="G979" s="74"/>
    </row>
    <row r="980" spans="7:7" x14ac:dyDescent="0.35">
      <c r="G980" s="74"/>
    </row>
    <row r="981" spans="7:7" x14ac:dyDescent="0.35">
      <c r="G981" s="74"/>
    </row>
    <row r="982" spans="7:7" x14ac:dyDescent="0.35">
      <c r="G982" s="74"/>
    </row>
    <row r="983" spans="7:7" x14ac:dyDescent="0.35">
      <c r="G983" s="74"/>
    </row>
    <row r="984" spans="7:7" x14ac:dyDescent="0.35">
      <c r="G984" s="74"/>
    </row>
    <row r="985" spans="7:7" x14ac:dyDescent="0.35">
      <c r="G985" s="74"/>
    </row>
    <row r="986" spans="7:7" x14ac:dyDescent="0.35">
      <c r="G986" s="74"/>
    </row>
    <row r="987" spans="7:7" x14ac:dyDescent="0.35">
      <c r="G987" s="74"/>
    </row>
    <row r="988" spans="7:7" x14ac:dyDescent="0.35">
      <c r="G988" s="74"/>
    </row>
    <row r="989" spans="7:7" x14ac:dyDescent="0.35">
      <c r="G989" s="74"/>
    </row>
    <row r="990" spans="7:7" x14ac:dyDescent="0.35">
      <c r="G990" s="74"/>
    </row>
    <row r="991" spans="7:7" x14ac:dyDescent="0.35">
      <c r="G991" s="74"/>
    </row>
    <row r="992" spans="7:7" x14ac:dyDescent="0.35">
      <c r="G992" s="74"/>
    </row>
    <row r="993" spans="7:7" x14ac:dyDescent="0.35">
      <c r="G993" s="74"/>
    </row>
    <row r="994" spans="7:7" x14ac:dyDescent="0.35">
      <c r="G994" s="74"/>
    </row>
    <row r="995" spans="7:7" x14ac:dyDescent="0.35">
      <c r="G995" s="74"/>
    </row>
    <row r="996" spans="7:7" x14ac:dyDescent="0.35">
      <c r="G996" s="74"/>
    </row>
    <row r="997" spans="7:7" x14ac:dyDescent="0.35">
      <c r="G997" s="74"/>
    </row>
    <row r="998" spans="7:7" x14ac:dyDescent="0.35">
      <c r="G998" s="74"/>
    </row>
    <row r="999" spans="7:7" x14ac:dyDescent="0.35">
      <c r="G999" s="74"/>
    </row>
    <row r="1000" spans="7:7" x14ac:dyDescent="0.35">
      <c r="G1000" s="74"/>
    </row>
    <row r="1001" spans="7:7" x14ac:dyDescent="0.35">
      <c r="G1001" s="74"/>
    </row>
    <row r="1002" spans="7:7" x14ac:dyDescent="0.35">
      <c r="G1002" s="74"/>
    </row>
    <row r="1003" spans="7:7" x14ac:dyDescent="0.35">
      <c r="G1003" s="74"/>
    </row>
    <row r="1004" spans="7:7" x14ac:dyDescent="0.35">
      <c r="G1004" s="74"/>
    </row>
    <row r="1005" spans="7:7" x14ac:dyDescent="0.35">
      <c r="G1005" s="74"/>
    </row>
    <row r="1006" spans="7:7" x14ac:dyDescent="0.35">
      <c r="G1006" s="74"/>
    </row>
    <row r="1007" spans="7:7" x14ac:dyDescent="0.35">
      <c r="G1007" s="74"/>
    </row>
    <row r="1008" spans="7:7" x14ac:dyDescent="0.35">
      <c r="G1008" s="74"/>
    </row>
    <row r="1009" spans="7:7" x14ac:dyDescent="0.35">
      <c r="G1009" s="74"/>
    </row>
    <row r="1010" spans="7:7" x14ac:dyDescent="0.35">
      <c r="G1010" s="74"/>
    </row>
    <row r="1011" spans="7:7" x14ac:dyDescent="0.35">
      <c r="G1011" s="74"/>
    </row>
    <row r="1012" spans="7:7" x14ac:dyDescent="0.35">
      <c r="G1012" s="74"/>
    </row>
    <row r="1013" spans="7:7" x14ac:dyDescent="0.35">
      <c r="G1013" s="74"/>
    </row>
    <row r="1014" spans="7:7" x14ac:dyDescent="0.35">
      <c r="G1014" s="74"/>
    </row>
    <row r="1015" spans="7:7" x14ac:dyDescent="0.35">
      <c r="G1015" s="74"/>
    </row>
    <row r="1016" spans="7:7" x14ac:dyDescent="0.35">
      <c r="G1016" s="74"/>
    </row>
    <row r="1017" spans="7:7" x14ac:dyDescent="0.35">
      <c r="G1017" s="74"/>
    </row>
    <row r="1018" spans="7:7" x14ac:dyDescent="0.35">
      <c r="G1018" s="74"/>
    </row>
    <row r="1019" spans="7:7" x14ac:dyDescent="0.35">
      <c r="G1019" s="74"/>
    </row>
    <row r="1020" spans="7:7" x14ac:dyDescent="0.35">
      <c r="G1020" s="74"/>
    </row>
    <row r="1021" spans="7:7" x14ac:dyDescent="0.35">
      <c r="G1021" s="74"/>
    </row>
    <row r="1022" spans="7:7" x14ac:dyDescent="0.35">
      <c r="G1022" s="74"/>
    </row>
    <row r="1023" spans="7:7" x14ac:dyDescent="0.35">
      <c r="G1023" s="74"/>
    </row>
    <row r="1024" spans="7:7" x14ac:dyDescent="0.35">
      <c r="G1024" s="74"/>
    </row>
    <row r="1025" spans="7:7" x14ac:dyDescent="0.35">
      <c r="G1025" s="74"/>
    </row>
    <row r="1026" spans="7:7" x14ac:dyDescent="0.35">
      <c r="G1026" s="74"/>
    </row>
    <row r="1027" spans="7:7" x14ac:dyDescent="0.35">
      <c r="G1027" s="74"/>
    </row>
    <row r="1028" spans="7:7" x14ac:dyDescent="0.35">
      <c r="G1028" s="74"/>
    </row>
    <row r="1029" spans="7:7" x14ac:dyDescent="0.35">
      <c r="G1029" s="74"/>
    </row>
    <row r="1030" spans="7:7" x14ac:dyDescent="0.35">
      <c r="G1030" s="74"/>
    </row>
    <row r="1031" spans="7:7" x14ac:dyDescent="0.35">
      <c r="G1031" s="74"/>
    </row>
    <row r="1032" spans="7:7" x14ac:dyDescent="0.35">
      <c r="G1032" s="74"/>
    </row>
    <row r="1033" spans="7:7" x14ac:dyDescent="0.35">
      <c r="G1033" s="74"/>
    </row>
    <row r="1034" spans="7:7" x14ac:dyDescent="0.35">
      <c r="G1034" s="74"/>
    </row>
    <row r="1035" spans="7:7" x14ac:dyDescent="0.35">
      <c r="G1035" s="74"/>
    </row>
    <row r="1036" spans="7:7" x14ac:dyDescent="0.35">
      <c r="G1036" s="74"/>
    </row>
    <row r="1037" spans="7:7" x14ac:dyDescent="0.35">
      <c r="G1037" s="74"/>
    </row>
    <row r="1038" spans="7:7" x14ac:dyDescent="0.35">
      <c r="G1038" s="74"/>
    </row>
    <row r="1039" spans="7:7" x14ac:dyDescent="0.35">
      <c r="G1039" s="74"/>
    </row>
    <row r="1040" spans="7:7" x14ac:dyDescent="0.35">
      <c r="G1040" s="74"/>
    </row>
    <row r="1041" spans="7:7" x14ac:dyDescent="0.35">
      <c r="G1041" s="74"/>
    </row>
    <row r="1042" spans="7:7" x14ac:dyDescent="0.35">
      <c r="G1042" s="74"/>
    </row>
    <row r="1043" spans="7:7" x14ac:dyDescent="0.35">
      <c r="G1043" s="74"/>
    </row>
    <row r="1044" spans="7:7" x14ac:dyDescent="0.35">
      <c r="G1044" s="74"/>
    </row>
    <row r="1045" spans="7:7" x14ac:dyDescent="0.35">
      <c r="G1045" s="74"/>
    </row>
    <row r="1046" spans="7:7" x14ac:dyDescent="0.35">
      <c r="G1046" s="74"/>
    </row>
    <row r="1047" spans="7:7" x14ac:dyDescent="0.35">
      <c r="G1047" s="74"/>
    </row>
    <row r="1048" spans="7:7" x14ac:dyDescent="0.35">
      <c r="G1048" s="74"/>
    </row>
    <row r="1049" spans="7:7" x14ac:dyDescent="0.35">
      <c r="G1049" s="74"/>
    </row>
    <row r="1050" spans="7:7" x14ac:dyDescent="0.35">
      <c r="G1050" s="74"/>
    </row>
    <row r="1051" spans="7:7" x14ac:dyDescent="0.35">
      <c r="G1051" s="74"/>
    </row>
    <row r="1052" spans="7:7" x14ac:dyDescent="0.35">
      <c r="G1052" s="74"/>
    </row>
    <row r="1053" spans="7:7" x14ac:dyDescent="0.35">
      <c r="G1053" s="74"/>
    </row>
    <row r="1054" spans="7:7" x14ac:dyDescent="0.35">
      <c r="G1054" s="74"/>
    </row>
    <row r="1055" spans="7:7" x14ac:dyDescent="0.35">
      <c r="G1055" s="74"/>
    </row>
    <row r="1056" spans="7:7" x14ac:dyDescent="0.35">
      <c r="G1056" s="74"/>
    </row>
    <row r="1057" spans="7:7" x14ac:dyDescent="0.35">
      <c r="G1057" s="74"/>
    </row>
    <row r="1058" spans="7:7" x14ac:dyDescent="0.35">
      <c r="G1058" s="74"/>
    </row>
    <row r="1059" spans="7:7" x14ac:dyDescent="0.35">
      <c r="G1059" s="74"/>
    </row>
    <row r="1060" spans="7:7" x14ac:dyDescent="0.35">
      <c r="G1060" s="74"/>
    </row>
    <row r="1061" spans="7:7" x14ac:dyDescent="0.35">
      <c r="G1061" s="74"/>
    </row>
    <row r="1062" spans="7:7" x14ac:dyDescent="0.35">
      <c r="G1062" s="74"/>
    </row>
    <row r="1063" spans="7:7" x14ac:dyDescent="0.35">
      <c r="G1063" s="74"/>
    </row>
    <row r="1064" spans="7:7" x14ac:dyDescent="0.35">
      <c r="G1064" s="74"/>
    </row>
    <row r="1065" spans="7:7" x14ac:dyDescent="0.35">
      <c r="G1065" s="74"/>
    </row>
    <row r="1066" spans="7:7" x14ac:dyDescent="0.35">
      <c r="G1066" s="74"/>
    </row>
    <row r="1067" spans="7:7" x14ac:dyDescent="0.35">
      <c r="G1067" s="74"/>
    </row>
    <row r="1068" spans="7:7" x14ac:dyDescent="0.35">
      <c r="G1068" s="74"/>
    </row>
    <row r="1069" spans="7:7" x14ac:dyDescent="0.35">
      <c r="G1069" s="74"/>
    </row>
    <row r="1070" spans="7:7" x14ac:dyDescent="0.35">
      <c r="G1070" s="74"/>
    </row>
    <row r="1071" spans="7:7" x14ac:dyDescent="0.35">
      <c r="G1071" s="74"/>
    </row>
    <row r="1072" spans="7:7" x14ac:dyDescent="0.35">
      <c r="G1072" s="74"/>
    </row>
    <row r="1073" spans="7:7" x14ac:dyDescent="0.35">
      <c r="G1073" s="74"/>
    </row>
    <row r="1074" spans="7:7" x14ac:dyDescent="0.35">
      <c r="G1074" s="74"/>
    </row>
    <row r="1075" spans="7:7" x14ac:dyDescent="0.35">
      <c r="G1075" s="74"/>
    </row>
    <row r="1076" spans="7:7" x14ac:dyDescent="0.35">
      <c r="G1076" s="74"/>
    </row>
    <row r="1077" spans="7:7" x14ac:dyDescent="0.35">
      <c r="G1077" s="74"/>
    </row>
    <row r="1078" spans="7:7" x14ac:dyDescent="0.35">
      <c r="G1078" s="74"/>
    </row>
    <row r="1079" spans="7:7" x14ac:dyDescent="0.35">
      <c r="G1079" s="74"/>
    </row>
    <row r="1080" spans="7:7" x14ac:dyDescent="0.35">
      <c r="G1080" s="74"/>
    </row>
    <row r="1081" spans="7:7" x14ac:dyDescent="0.35">
      <c r="G1081" s="74"/>
    </row>
    <row r="1082" spans="7:7" x14ac:dyDescent="0.35">
      <c r="G1082" s="74"/>
    </row>
    <row r="1083" spans="7:7" x14ac:dyDescent="0.35">
      <c r="G1083" s="74"/>
    </row>
    <row r="1084" spans="7:7" x14ac:dyDescent="0.35">
      <c r="G1084" s="74"/>
    </row>
    <row r="1085" spans="7:7" x14ac:dyDescent="0.35">
      <c r="G1085" s="74"/>
    </row>
    <row r="1086" spans="7:7" x14ac:dyDescent="0.35">
      <c r="G1086" s="74"/>
    </row>
    <row r="1087" spans="7:7" x14ac:dyDescent="0.35">
      <c r="G1087" s="74"/>
    </row>
    <row r="1088" spans="7:7" x14ac:dyDescent="0.35">
      <c r="G1088" s="74"/>
    </row>
    <row r="1089" spans="7:7" x14ac:dyDescent="0.35">
      <c r="G1089" s="74"/>
    </row>
    <row r="1090" spans="7:7" x14ac:dyDescent="0.35">
      <c r="G1090" s="74"/>
    </row>
    <row r="1091" spans="7:7" x14ac:dyDescent="0.35">
      <c r="G1091" s="74"/>
    </row>
    <row r="1092" spans="7:7" x14ac:dyDescent="0.35">
      <c r="G1092" s="74"/>
    </row>
    <row r="1093" spans="7:7" x14ac:dyDescent="0.35">
      <c r="G1093" s="74"/>
    </row>
    <row r="1094" spans="7:7" x14ac:dyDescent="0.35">
      <c r="G1094" s="74"/>
    </row>
    <row r="1095" spans="7:7" x14ac:dyDescent="0.35">
      <c r="G1095" s="74"/>
    </row>
    <row r="1096" spans="7:7" x14ac:dyDescent="0.35">
      <c r="G1096" s="74"/>
    </row>
    <row r="1097" spans="7:7" x14ac:dyDescent="0.35">
      <c r="G1097" s="74"/>
    </row>
    <row r="1098" spans="7:7" x14ac:dyDescent="0.35">
      <c r="G1098" s="74"/>
    </row>
    <row r="1099" spans="7:7" x14ac:dyDescent="0.35">
      <c r="G1099" s="74"/>
    </row>
    <row r="1100" spans="7:7" x14ac:dyDescent="0.35">
      <c r="G1100" s="74"/>
    </row>
    <row r="1101" spans="7:7" x14ac:dyDescent="0.35">
      <c r="G1101" s="74"/>
    </row>
    <row r="1102" spans="7:7" x14ac:dyDescent="0.35">
      <c r="G1102" s="74"/>
    </row>
    <row r="1103" spans="7:7" x14ac:dyDescent="0.35">
      <c r="G1103" s="74"/>
    </row>
    <row r="1104" spans="7:7" x14ac:dyDescent="0.35">
      <c r="G1104" s="74"/>
    </row>
    <row r="1105" spans="7:7" x14ac:dyDescent="0.35">
      <c r="G1105" s="74"/>
    </row>
    <row r="1106" spans="7:7" x14ac:dyDescent="0.35">
      <c r="G1106" s="74"/>
    </row>
    <row r="1107" spans="7:7" x14ac:dyDescent="0.35">
      <c r="G1107" s="74"/>
    </row>
    <row r="1108" spans="7:7" x14ac:dyDescent="0.35">
      <c r="G1108" s="74"/>
    </row>
    <row r="1109" spans="7:7" x14ac:dyDescent="0.35">
      <c r="G1109" s="74"/>
    </row>
    <row r="1110" spans="7:7" x14ac:dyDescent="0.35">
      <c r="G1110" s="74"/>
    </row>
    <row r="1111" spans="7:7" x14ac:dyDescent="0.35">
      <c r="G1111" s="74"/>
    </row>
    <row r="1112" spans="7:7" x14ac:dyDescent="0.35">
      <c r="G1112" s="74"/>
    </row>
    <row r="1113" spans="7:7" x14ac:dyDescent="0.35">
      <c r="G1113" s="74"/>
    </row>
    <row r="1114" spans="7:7" x14ac:dyDescent="0.35">
      <c r="G1114" s="74"/>
    </row>
    <row r="1115" spans="7:7" x14ac:dyDescent="0.35">
      <c r="G1115" s="74"/>
    </row>
    <row r="1116" spans="7:7" x14ac:dyDescent="0.35">
      <c r="G1116" s="74"/>
    </row>
    <row r="1117" spans="7:7" x14ac:dyDescent="0.35">
      <c r="G1117" s="74"/>
    </row>
    <row r="1118" spans="7:7" x14ac:dyDescent="0.35">
      <c r="G1118" s="74"/>
    </row>
    <row r="1119" spans="7:7" x14ac:dyDescent="0.35">
      <c r="G1119" s="74"/>
    </row>
  </sheetData>
  <mergeCells count="20">
    <mergeCell ref="B27:B30"/>
    <mergeCell ref="C27:D32"/>
    <mergeCell ref="C9:H9"/>
    <mergeCell ref="E25:G25"/>
    <mergeCell ref="E26:G26"/>
    <mergeCell ref="E24:G24"/>
    <mergeCell ref="H24:J24"/>
    <mergeCell ref="E19:G19"/>
    <mergeCell ref="E21:G21"/>
    <mergeCell ref="E22:G22"/>
    <mergeCell ref="H20:J20"/>
    <mergeCell ref="H19:J19"/>
    <mergeCell ref="H25:J25"/>
    <mergeCell ref="H26:J26"/>
    <mergeCell ref="C20:D20"/>
    <mergeCell ref="E23:G23"/>
    <mergeCell ref="E20:G20"/>
    <mergeCell ref="H23:J23"/>
    <mergeCell ref="C21:D21"/>
    <mergeCell ref="C22:D22"/>
  </mergeCells>
  <conditionalFormatting sqref="K24:R24 H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with_salt</vt:lpstr>
      <vt:lpstr>with_rhodamine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Durighetto</dc:creator>
  <cp:lastModifiedBy>Giulia Grandi</cp:lastModifiedBy>
  <dcterms:created xsi:type="dcterms:W3CDTF">2020-07-07T08:12:46Z</dcterms:created>
  <dcterms:modified xsi:type="dcterms:W3CDTF">2025-10-10T08:10:58Z</dcterms:modified>
</cp:coreProperties>
</file>